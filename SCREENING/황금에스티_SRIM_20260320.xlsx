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I\SRIM\클로드\SCREENING\"/>
    </mc:Choice>
  </mc:AlternateContent>
  <xr:revisionPtr revIDLastSave="0" documentId="13_ncr:1_{632B4B3C-9C46-491E-840E-B6285C8FB14E}" xr6:coauthVersionLast="47" xr6:coauthVersionMax="47" xr10:uidLastSave="{00000000-0000-0000-0000-000000000000}"/>
  <bookViews>
    <workbookView xWindow="0" yWindow="108" windowWidth="17784" windowHeight="12132" xr2:uid="{00000000-000D-0000-FFFF-FFFF00000000}"/>
  </bookViews>
  <sheets>
    <sheet name="사용법" sheetId="1" r:id="rId1"/>
    <sheet name="FN_Snapshot" sheetId="2" r:id="rId2"/>
    <sheet name="결과" sheetId="3" r:id="rId3"/>
    <sheet name="Data" sheetId="4" r:id="rId4"/>
    <sheet name="RIM계산" sheetId="5" r:id="rId5"/>
    <sheet name="RIM수기계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8" i="6" l="1"/>
  <c r="B114" i="6"/>
  <c r="C114" i="6" s="1"/>
  <c r="D114" i="6" s="1"/>
  <c r="E114" i="6" s="1"/>
  <c r="F114" i="6" s="1"/>
  <c r="G114" i="6" s="1"/>
  <c r="B105" i="6"/>
  <c r="B101" i="6"/>
  <c r="C101" i="6" s="1"/>
  <c r="B88" i="6"/>
  <c r="C88" i="6" s="1"/>
  <c r="A79" i="6"/>
  <c r="H78" i="6"/>
  <c r="E77" i="6"/>
  <c r="D77" i="6"/>
  <c r="C77" i="6"/>
  <c r="B77" i="6"/>
  <c r="E76" i="6"/>
  <c r="E72" i="6" s="1"/>
  <c r="D76" i="6"/>
  <c r="D72" i="6" s="1"/>
  <c r="C76" i="6"/>
  <c r="C72" i="6" s="1"/>
  <c r="B76" i="6"/>
  <c r="G75" i="6"/>
  <c r="L74" i="6"/>
  <c r="G74" i="6"/>
  <c r="L73" i="6"/>
  <c r="G73" i="6"/>
  <c r="E73" i="6"/>
  <c r="D73" i="6"/>
  <c r="C73" i="6"/>
  <c r="B73" i="6"/>
  <c r="L72" i="6"/>
  <c r="B72" i="6"/>
  <c r="E71" i="6"/>
  <c r="F71" i="6" s="1"/>
  <c r="D70" i="6"/>
  <c r="C70" i="6"/>
  <c r="B70" i="6" s="1"/>
  <c r="B66" i="6"/>
  <c r="B55" i="6"/>
  <c r="B51" i="6"/>
  <c r="B52" i="6" s="1"/>
  <c r="C52" i="6" s="1"/>
  <c r="D52" i="6" s="1"/>
  <c r="E52" i="6" s="1"/>
  <c r="F52" i="6" s="1"/>
  <c r="G52" i="6" s="1"/>
  <c r="H52" i="6" s="1"/>
  <c r="I52" i="6" s="1"/>
  <c r="J52" i="6" s="1"/>
  <c r="K52" i="6" s="1"/>
  <c r="L52" i="6" s="1"/>
  <c r="B43" i="6"/>
  <c r="B39" i="6"/>
  <c r="C39" i="6" s="1"/>
  <c r="D39" i="6" s="1"/>
  <c r="E39" i="6" s="1"/>
  <c r="B31" i="6"/>
  <c r="B27" i="6"/>
  <c r="C14" i="6"/>
  <c r="B14" i="6"/>
  <c r="G13" i="6"/>
  <c r="B8" i="6"/>
  <c r="B11" i="6" s="1"/>
  <c r="I57" i="5"/>
  <c r="G57" i="5"/>
  <c r="F57" i="5"/>
  <c r="F63" i="5" s="1"/>
  <c r="D57" i="5"/>
  <c r="D63" i="5" s="1"/>
  <c r="G56" i="5"/>
  <c r="D55" i="5"/>
  <c r="D61" i="5" s="1"/>
  <c r="B42" i="5"/>
  <c r="C42" i="5" s="1"/>
  <c r="D42" i="5" s="1"/>
  <c r="E42" i="5" s="1"/>
  <c r="F42" i="5" s="1"/>
  <c r="G42" i="5" s="1"/>
  <c r="H42" i="5" s="1"/>
  <c r="I42" i="5" s="1"/>
  <c r="J42" i="5" s="1"/>
  <c r="K42" i="5" s="1"/>
  <c r="L42" i="5" s="1"/>
  <c r="B30" i="5"/>
  <c r="C29" i="5"/>
  <c r="D29" i="5" s="1"/>
  <c r="E29" i="5" s="1"/>
  <c r="F29" i="5" s="1"/>
  <c r="G29" i="5" s="1"/>
  <c r="H29" i="5" s="1"/>
  <c r="I29" i="5" s="1"/>
  <c r="J29" i="5" s="1"/>
  <c r="K29" i="5" s="1"/>
  <c r="L29" i="5" s="1"/>
  <c r="B29" i="5"/>
  <c r="B16" i="5"/>
  <c r="C16" i="5" s="1"/>
  <c r="H7" i="5"/>
  <c r="H8" i="5" s="1"/>
  <c r="L5" i="5"/>
  <c r="K5" i="5"/>
  <c r="J5" i="5"/>
  <c r="G58" i="5" s="1"/>
  <c r="I5" i="5"/>
  <c r="F56" i="5" s="1"/>
  <c r="F62" i="5" s="1"/>
  <c r="H5" i="5"/>
  <c r="E56" i="5" s="1"/>
  <c r="E62" i="5" s="1"/>
  <c r="G5" i="5"/>
  <c r="D56" i="5" s="1"/>
  <c r="D62" i="5" s="1"/>
  <c r="F5" i="5"/>
  <c r="C58" i="5" s="1"/>
  <c r="C64" i="5" s="1"/>
  <c r="E5" i="5"/>
  <c r="B57" i="5" s="1"/>
  <c r="B63" i="5" s="1"/>
  <c r="L4" i="5"/>
  <c r="I55" i="5" s="1"/>
  <c r="I54" i="5" s="1"/>
  <c r="K4" i="5"/>
  <c r="H55" i="5" s="1"/>
  <c r="H54" i="5" s="1"/>
  <c r="J4" i="5"/>
  <c r="G55" i="5" s="1"/>
  <c r="G54" i="5" s="1"/>
  <c r="J54" i="5" s="1"/>
  <c r="K54" i="5" s="1"/>
  <c r="L54" i="5" s="1"/>
  <c r="I4" i="5"/>
  <c r="F55" i="5" s="1"/>
  <c r="F61" i="5" s="1"/>
  <c r="H4" i="5"/>
  <c r="E55" i="5" s="1"/>
  <c r="E61" i="5" s="1"/>
  <c r="G4" i="5"/>
  <c r="F4" i="5"/>
  <c r="C55" i="5" s="1"/>
  <c r="C61" i="5" s="1"/>
  <c r="E4" i="5"/>
  <c r="B55" i="5" s="1"/>
  <c r="B61" i="5" s="1"/>
  <c r="L3" i="5"/>
  <c r="K3" i="5"/>
  <c r="J3" i="5"/>
  <c r="I3" i="5"/>
  <c r="H3" i="5"/>
  <c r="G3" i="5"/>
  <c r="F3" i="5"/>
  <c r="E3" i="5"/>
  <c r="B3" i="5"/>
  <c r="B17" i="5" s="1"/>
  <c r="C17" i="5" s="1"/>
  <c r="L2" i="5"/>
  <c r="K2" i="5"/>
  <c r="J2" i="5"/>
  <c r="I2" i="5"/>
  <c r="H2" i="5"/>
  <c r="G2" i="5"/>
  <c r="F2" i="5"/>
  <c r="E2" i="5"/>
  <c r="B2" i="5"/>
  <c r="G82" i="4"/>
  <c r="H82" i="4" s="1"/>
  <c r="G66" i="4"/>
  <c r="H66" i="4" s="1"/>
  <c r="G24" i="4"/>
  <c r="H24" i="4" s="1"/>
  <c r="G21" i="4"/>
  <c r="H21" i="4" s="1"/>
  <c r="G20" i="4"/>
  <c r="H20" i="4" s="1"/>
  <c r="G19" i="4"/>
  <c r="H19" i="4" s="1"/>
  <c r="G18" i="4"/>
  <c r="H18" i="4" s="1"/>
  <c r="G17" i="4"/>
  <c r="H17" i="4" s="1"/>
  <c r="G16" i="4"/>
  <c r="H16" i="4" s="1"/>
  <c r="G10" i="4"/>
  <c r="H10" i="4" s="1"/>
  <c r="G8" i="4"/>
  <c r="H8" i="4" s="1"/>
  <c r="G7" i="4"/>
  <c r="H7" i="4" s="1"/>
  <c r="G6" i="4"/>
  <c r="H6" i="4" s="1"/>
  <c r="G5" i="4"/>
  <c r="H5" i="4" s="1"/>
  <c r="G4" i="4"/>
  <c r="H4" i="4" s="1"/>
  <c r="E44" i="3"/>
  <c r="D44" i="3"/>
  <c r="C44" i="3"/>
  <c r="D43" i="3"/>
  <c r="C43" i="3"/>
  <c r="E42" i="3"/>
  <c r="D42" i="3"/>
  <c r="C42" i="3"/>
  <c r="C41" i="3"/>
  <c r="H38" i="3"/>
  <c r="G38" i="3"/>
  <c r="F38" i="3"/>
  <c r="E38" i="3"/>
  <c r="D38" i="3"/>
  <c r="C38" i="3"/>
  <c r="H37" i="3"/>
  <c r="G37" i="3"/>
  <c r="F37" i="3"/>
  <c r="E37" i="3"/>
  <c r="D37" i="3"/>
  <c r="C37" i="3"/>
  <c r="G35" i="3"/>
  <c r="F35" i="3"/>
  <c r="E35" i="3"/>
  <c r="D35" i="3"/>
  <c r="C35" i="3"/>
  <c r="H34" i="3"/>
  <c r="G34" i="3"/>
  <c r="G39" i="3" s="1"/>
  <c r="F34" i="3"/>
  <c r="E34" i="3"/>
  <c r="E39" i="3" s="1"/>
  <c r="D34" i="3"/>
  <c r="D39" i="3" s="1"/>
  <c r="C34" i="3"/>
  <c r="F33" i="3"/>
  <c r="E33" i="3"/>
  <c r="D33" i="3"/>
  <c r="E24" i="3"/>
  <c r="AF7" i="3" s="1"/>
  <c r="D24" i="3"/>
  <c r="C24" i="3"/>
  <c r="E23" i="3"/>
  <c r="D23" i="3"/>
  <c r="C23" i="3"/>
  <c r="G22" i="3"/>
  <c r="F22" i="3"/>
  <c r="E22" i="3"/>
  <c r="D22" i="3"/>
  <c r="C22" i="3"/>
  <c r="G21" i="3"/>
  <c r="G33" i="3" s="1"/>
  <c r="F21" i="3"/>
  <c r="E21" i="3"/>
  <c r="D21" i="3"/>
  <c r="C21" i="3"/>
  <c r="C33" i="3" s="1"/>
  <c r="I20" i="3"/>
  <c r="E20" i="3" s="1"/>
  <c r="C17" i="3"/>
  <c r="AF10" i="3"/>
  <c r="B116" i="2"/>
  <c r="B62" i="4"/>
  <c r="E59" i="4"/>
  <c r="B56" i="4"/>
  <c r="D53" i="4"/>
  <c r="A44" i="4"/>
  <c r="A35" i="4"/>
  <c r="I7" i="4"/>
  <c r="I17" i="4"/>
  <c r="D56" i="4"/>
  <c r="I16" i="4"/>
  <c r="H62" i="4"/>
  <c r="H59" i="4"/>
  <c r="G53" i="4"/>
  <c r="D50" i="4"/>
  <c r="I35" i="4"/>
  <c r="E58" i="4"/>
  <c r="A42" i="4"/>
  <c r="I19" i="4"/>
  <c r="A56" i="4"/>
  <c r="E39" i="4"/>
  <c r="I18" i="4"/>
  <c r="G35" i="4"/>
  <c r="D58" i="4"/>
  <c r="A41" i="4"/>
  <c r="C56" i="4"/>
  <c r="A40" i="4"/>
  <c r="B4" i="4"/>
  <c r="H55" i="4"/>
  <c r="C62" i="4"/>
  <c r="G55" i="4"/>
  <c r="G33" i="4"/>
  <c r="A62" i="4"/>
  <c r="E55" i="4"/>
  <c r="A33" i="4"/>
  <c r="E53" i="4"/>
  <c r="I32" i="4"/>
  <c r="I61" i="4"/>
  <c r="C53" i="4"/>
  <c r="H32" i="4"/>
  <c r="D61" i="4"/>
  <c r="B53" i="4"/>
  <c r="A58" i="4"/>
  <c r="F52" i="4"/>
  <c r="G59" i="4"/>
  <c r="E52" i="4"/>
  <c r="I21" i="4"/>
  <c r="C52" i="4"/>
  <c r="C50" i="4"/>
  <c r="F58" i="4"/>
  <c r="A43" i="4"/>
  <c r="I5" i="4"/>
  <c r="D86" i="4"/>
  <c r="C61" i="4"/>
  <c r="A59" i="4"/>
  <c r="I58" i="4"/>
  <c r="I6" i="4"/>
  <c r="I34" i="4"/>
  <c r="I8" i="4"/>
  <c r="H69" i="4"/>
  <c r="I20" i="4"/>
  <c r="L71" i="6" l="1"/>
  <c r="L70" i="6" s="1"/>
  <c r="C78" i="6" s="1"/>
  <c r="B43" i="5"/>
  <c r="F58" i="5"/>
  <c r="F64" i="5" s="1"/>
  <c r="B40" i="6"/>
  <c r="B41" i="6" s="1"/>
  <c r="D58" i="5"/>
  <c r="D64" i="5" s="1"/>
  <c r="F39" i="3"/>
  <c r="H39" i="3"/>
  <c r="G76" i="6"/>
  <c r="B58" i="5"/>
  <c r="B64" i="5" s="1"/>
  <c r="C39" i="3"/>
  <c r="B56" i="5"/>
  <c r="B62" i="5" s="1"/>
  <c r="B20" i="4"/>
  <c r="B8" i="4"/>
  <c r="B6" i="4"/>
  <c r="C6" i="3" s="1"/>
  <c r="E43" i="3"/>
  <c r="B5" i="4"/>
  <c r="C5" i="3" s="1"/>
  <c r="C27" i="3" s="1"/>
  <c r="H35" i="3" s="1"/>
  <c r="B21" i="4"/>
  <c r="C4" i="3"/>
  <c r="B37" i="3"/>
  <c r="B18" i="4"/>
  <c r="F36" i="3"/>
  <c r="B19" i="4"/>
  <c r="B38" i="3"/>
  <c r="B16" i="4"/>
  <c r="B17" i="4"/>
  <c r="C7" i="4"/>
  <c r="E5" i="3" s="1"/>
  <c r="B7" i="4"/>
  <c r="M54" i="5"/>
  <c r="N54" i="5" s="1"/>
  <c r="O54" i="5" s="1"/>
  <c r="P54" i="5" s="1"/>
  <c r="Q54" i="5" s="1"/>
  <c r="R54" i="5" s="1"/>
  <c r="S54" i="5" s="1"/>
  <c r="C30" i="5"/>
  <c r="D17" i="5"/>
  <c r="B16" i="6"/>
  <c r="C16" i="6" s="1"/>
  <c r="B15" i="6"/>
  <c r="C15" i="6" s="1"/>
  <c r="F39" i="6"/>
  <c r="F79" i="6"/>
  <c r="B102" i="6"/>
  <c r="C102" i="6" s="1"/>
  <c r="D102" i="6" s="1"/>
  <c r="E102" i="6" s="1"/>
  <c r="F102" i="6" s="1"/>
  <c r="G102" i="6" s="1"/>
  <c r="H102" i="6" s="1"/>
  <c r="I102" i="6" s="1"/>
  <c r="J102" i="6" s="1"/>
  <c r="K102" i="6" s="1"/>
  <c r="L102" i="6" s="1"/>
  <c r="B115" i="6"/>
  <c r="B89" i="6"/>
  <c r="D101" i="6"/>
  <c r="D16" i="5"/>
  <c r="J55" i="5"/>
  <c r="G61" i="5" s="1"/>
  <c r="H57" i="5"/>
  <c r="H56" i="5"/>
  <c r="H58" i="5"/>
  <c r="I56" i="5"/>
  <c r="I58" i="5"/>
  <c r="D88" i="6"/>
  <c r="C27" i="6"/>
  <c r="B28" i="6"/>
  <c r="K21" i="3"/>
  <c r="C57" i="5"/>
  <c r="C63" i="5" s="1"/>
  <c r="C56" i="5"/>
  <c r="C62" i="5" s="1"/>
  <c r="B103" i="6"/>
  <c r="C43" i="5"/>
  <c r="H114" i="6"/>
  <c r="B53" i="6"/>
  <c r="C51" i="6"/>
  <c r="E57" i="5"/>
  <c r="E63" i="5" s="1"/>
  <c r="E58" i="5"/>
  <c r="E64" i="5" s="1"/>
  <c r="C75" i="4"/>
  <c r="B68" i="4"/>
  <c r="B71" i="4"/>
  <c r="D68" i="4"/>
  <c r="G76" i="4"/>
  <c r="F54" i="4"/>
  <c r="A27" i="4"/>
  <c r="A61" i="4"/>
  <c r="I39" i="4"/>
  <c r="G52" i="4"/>
  <c r="G39" i="4"/>
  <c r="A28" i="4"/>
  <c r="D39" i="4"/>
  <c r="A11" i="4"/>
  <c r="D73" i="4"/>
  <c r="I74" i="4"/>
  <c r="F76" i="4"/>
  <c r="F51" i="4"/>
  <c r="B54" i="4"/>
  <c r="D62" i="4"/>
  <c r="F56" i="4"/>
  <c r="D57" i="4"/>
  <c r="A12" i="4"/>
  <c r="A37" i="4"/>
  <c r="G61" i="4"/>
  <c r="D52" i="4"/>
  <c r="H58" i="4"/>
  <c r="C54" i="4"/>
  <c r="E60" i="4"/>
  <c r="I71" i="4"/>
  <c r="F75" i="4"/>
  <c r="G69" i="4"/>
  <c r="E75" i="4"/>
  <c r="F68" i="4"/>
  <c r="C74" i="4"/>
  <c r="G70" i="4"/>
  <c r="G57" i="4"/>
  <c r="C57" i="4"/>
  <c r="D59" i="4"/>
  <c r="H35" i="4"/>
  <c r="F50" i="4"/>
  <c r="G34" i="4"/>
  <c r="A38" i="4"/>
  <c r="B52" i="4"/>
  <c r="B72" i="4"/>
  <c r="H76" i="4"/>
  <c r="E73" i="4"/>
  <c r="I75" i="4"/>
  <c r="H70" i="4"/>
  <c r="B69" i="4"/>
  <c r="A30" i="4"/>
  <c r="F57" i="4"/>
  <c r="H29" i="4"/>
  <c r="I38" i="4"/>
  <c r="F61" i="4"/>
  <c r="E51" i="4"/>
  <c r="C55" i="4"/>
  <c r="B75" i="4"/>
  <c r="E71" i="4"/>
  <c r="B70" i="4"/>
  <c r="I73" i="4"/>
  <c r="I55" i="4"/>
  <c r="F62" i="4"/>
  <c r="H33" i="4"/>
  <c r="B59" i="4"/>
  <c r="E54" i="4"/>
  <c r="B58" i="4"/>
  <c r="F69" i="4"/>
  <c r="H60" i="4"/>
  <c r="B61" i="4"/>
  <c r="G71" i="4"/>
  <c r="D75" i="4"/>
  <c r="A72" i="4"/>
  <c r="F73" i="4"/>
  <c r="F60" i="4"/>
  <c r="C60" i="4"/>
  <c r="G75" i="4"/>
  <c r="A68" i="4"/>
  <c r="C73" i="4"/>
  <c r="A69" i="4"/>
  <c r="F70" i="4"/>
  <c r="C69" i="4"/>
  <c r="A51" i="4"/>
  <c r="A60" i="4"/>
  <c r="E50" i="4"/>
  <c r="H56" i="4"/>
  <c r="H57" i="4"/>
  <c r="I51" i="4"/>
  <c r="B76" i="4"/>
  <c r="D71" i="4"/>
  <c r="E68" i="4"/>
  <c r="E76" i="4"/>
  <c r="H53" i="4"/>
  <c r="C58" i="4"/>
  <c r="B39" i="4"/>
  <c r="I54" i="4"/>
  <c r="D55" i="4"/>
  <c r="A34" i="4"/>
  <c r="E72" i="4"/>
  <c r="E74" i="4"/>
  <c r="E69" i="4"/>
  <c r="F74" i="4"/>
  <c r="B73" i="4"/>
  <c r="A57" i="4"/>
  <c r="A31" i="4"/>
  <c r="E56" i="4"/>
  <c r="H34" i="4"/>
  <c r="H52" i="4"/>
  <c r="I52" i="4"/>
  <c r="F39" i="4"/>
  <c r="F72" i="4"/>
  <c r="H72" i="4"/>
  <c r="G74" i="4"/>
  <c r="I70" i="4"/>
  <c r="D76" i="4"/>
  <c r="A70" i="4"/>
  <c r="I59" i="4"/>
  <c r="C39" i="4"/>
  <c r="H54" i="4"/>
  <c r="A29" i="4"/>
  <c r="A39" i="4"/>
  <c r="B50" i="4"/>
  <c r="I53" i="4"/>
  <c r="H38" i="4"/>
  <c r="A71" i="4"/>
  <c r="D72" i="4"/>
  <c r="I66" i="4"/>
  <c r="D70" i="4"/>
  <c r="I62" i="4"/>
  <c r="A52" i="4"/>
  <c r="A53" i="4"/>
  <c r="E61" i="4"/>
  <c r="I33" i="4"/>
  <c r="G37" i="4"/>
  <c r="I37" i="4"/>
  <c r="H51" i="4"/>
  <c r="G72" i="4"/>
  <c r="D69" i="4"/>
  <c r="I69" i="4"/>
  <c r="A74" i="4"/>
  <c r="H71" i="4"/>
  <c r="I24" i="4"/>
  <c r="B55" i="4"/>
  <c r="D51" i="4"/>
  <c r="F59" i="4"/>
  <c r="E62" i="4"/>
  <c r="G29" i="4"/>
  <c r="A54" i="4"/>
  <c r="A55" i="4"/>
  <c r="A76" i="4"/>
  <c r="C76" i="4"/>
  <c r="E70" i="4"/>
  <c r="D74" i="4"/>
  <c r="C51" i="4"/>
  <c r="H37" i="4"/>
  <c r="D84" i="4"/>
  <c r="H39" i="4"/>
  <c r="E57" i="4"/>
  <c r="G60" i="4"/>
  <c r="H61" i="4"/>
  <c r="D60" i="4"/>
  <c r="I57" i="4"/>
  <c r="I72" i="4"/>
  <c r="A13" i="4"/>
  <c r="B74" i="4"/>
  <c r="H73" i="4"/>
  <c r="A73" i="4"/>
  <c r="F71" i="4"/>
  <c r="B51" i="4"/>
  <c r="A36" i="4"/>
  <c r="F55" i="4"/>
  <c r="G58" i="4"/>
  <c r="C59" i="4"/>
  <c r="I60" i="4"/>
  <c r="H75" i="4"/>
  <c r="C72" i="4"/>
  <c r="C71" i="4"/>
  <c r="H74" i="4"/>
  <c r="C68" i="4"/>
  <c r="I29" i="4"/>
  <c r="B57" i="4"/>
  <c r="A32" i="4"/>
  <c r="F53" i="4"/>
  <c r="G56" i="4"/>
  <c r="I56" i="4"/>
  <c r="C84" i="4"/>
  <c r="A75" i="4"/>
  <c r="C70" i="4"/>
  <c r="G73" i="4"/>
  <c r="I76" i="4"/>
  <c r="G38" i="4"/>
  <c r="B60" i="4"/>
  <c r="G62" i="4"/>
  <c r="G51" i="4"/>
  <c r="G54" i="4"/>
  <c r="D54" i="4"/>
  <c r="G32" i="4"/>
  <c r="C40" i="6" l="1"/>
  <c r="C103" i="6"/>
  <c r="C104" i="6" s="1"/>
  <c r="C106" i="6" s="1"/>
  <c r="K60" i="4"/>
  <c r="D41" i="3"/>
  <c r="K72" i="4"/>
  <c r="K51" i="4"/>
  <c r="B11" i="3"/>
  <c r="E41" i="3"/>
  <c r="B36" i="3"/>
  <c r="D36" i="3"/>
  <c r="G36" i="3"/>
  <c r="C36" i="3"/>
  <c r="K75" i="4"/>
  <c r="K55" i="4"/>
  <c r="K69" i="4"/>
  <c r="K50" i="4"/>
  <c r="J21" i="3" s="1"/>
  <c r="H21" i="3"/>
  <c r="M4" i="5"/>
  <c r="K68" i="4"/>
  <c r="B10" i="3"/>
  <c r="B9" i="3"/>
  <c r="E36" i="3"/>
  <c r="H36" i="3"/>
  <c r="C105" i="6"/>
  <c r="I114" i="6"/>
  <c r="C53" i="6"/>
  <c r="C54" i="6" s="1"/>
  <c r="D51" i="6"/>
  <c r="D43" i="5"/>
  <c r="C89" i="6"/>
  <c r="B90" i="6"/>
  <c r="E17" i="5"/>
  <c r="C115" i="6"/>
  <c r="B116" i="6"/>
  <c r="D40" i="6"/>
  <c r="C41" i="6"/>
  <c r="C42" i="6" s="1"/>
  <c r="F78" i="6"/>
  <c r="H79" i="6" s="1"/>
  <c r="B92" i="6"/>
  <c r="G39" i="6"/>
  <c r="D30" i="5"/>
  <c r="B4" i="5"/>
  <c r="E4" i="3"/>
  <c r="C28" i="6"/>
  <c r="D28" i="6" s="1"/>
  <c r="E28" i="6" s="1"/>
  <c r="F28" i="6" s="1"/>
  <c r="G28" i="6" s="1"/>
  <c r="H28" i="6" s="1"/>
  <c r="I28" i="6" s="1"/>
  <c r="J28" i="6" s="1"/>
  <c r="K28" i="6" s="1"/>
  <c r="L28" i="6" s="1"/>
  <c r="B29" i="6"/>
  <c r="E88" i="6"/>
  <c r="D27" i="6"/>
  <c r="E16" i="5"/>
  <c r="K55" i="5"/>
  <c r="H61" i="5" s="1"/>
  <c r="E6" i="3"/>
  <c r="B5" i="5"/>
  <c r="E101" i="6"/>
  <c r="D103" i="6"/>
  <c r="E27" i="6" l="1"/>
  <c r="D29" i="6"/>
  <c r="F17" i="5"/>
  <c r="H39" i="6"/>
  <c r="D89" i="6"/>
  <c r="C90" i="6"/>
  <c r="C91" i="6" s="1"/>
  <c r="C93" i="6" s="1"/>
  <c r="E103" i="6"/>
  <c r="F101" i="6"/>
  <c r="E43" i="5"/>
  <c r="D53" i="6"/>
  <c r="E51" i="6"/>
  <c r="J114" i="6"/>
  <c r="N21" i="3"/>
  <c r="L21" i="3"/>
  <c r="M21" i="3" s="1"/>
  <c r="F88" i="6"/>
  <c r="C56" i="6"/>
  <c r="C55" i="6"/>
  <c r="C44" i="6"/>
  <c r="C43" i="6"/>
  <c r="D104" i="6"/>
  <c r="D106" i="6" s="1"/>
  <c r="D105" i="6"/>
  <c r="D41" i="6"/>
  <c r="E40" i="6"/>
  <c r="F16" i="5"/>
  <c r="L55" i="5"/>
  <c r="I61" i="5" s="1"/>
  <c r="D115" i="6"/>
  <c r="C116" i="6"/>
  <c r="C117" i="6" s="1"/>
  <c r="K61" i="4"/>
  <c r="E30" i="5"/>
  <c r="K76" i="4"/>
  <c r="C29" i="6"/>
  <c r="C30" i="6" s="1"/>
  <c r="F40" i="6" l="1"/>
  <c r="E41" i="6"/>
  <c r="C92" i="6"/>
  <c r="E104" i="6"/>
  <c r="E106" i="6" s="1"/>
  <c r="E105" i="6"/>
  <c r="C32" i="6"/>
  <c r="C31" i="6"/>
  <c r="D42" i="6"/>
  <c r="D44" i="6" s="1"/>
  <c r="F43" i="5"/>
  <c r="G101" i="6"/>
  <c r="F103" i="6"/>
  <c r="F30" i="5"/>
  <c r="D54" i="6"/>
  <c r="D56" i="6" s="1"/>
  <c r="M5" i="5"/>
  <c r="M3" i="5"/>
  <c r="K78" i="4"/>
  <c r="C119" i="6"/>
  <c r="C118" i="6"/>
  <c r="G88" i="6"/>
  <c r="E89" i="6"/>
  <c r="D90" i="6"/>
  <c r="K114" i="6"/>
  <c r="E115" i="6"/>
  <c r="D116" i="6"/>
  <c r="I39" i="6"/>
  <c r="G17" i="5"/>
  <c r="G16" i="5"/>
  <c r="M55" i="5"/>
  <c r="J61" i="5" s="1"/>
  <c r="E53" i="6"/>
  <c r="F51" i="6"/>
  <c r="E29" i="6"/>
  <c r="F27" i="6"/>
  <c r="H22" i="3" l="1"/>
  <c r="M2" i="5"/>
  <c r="F104" i="6"/>
  <c r="F106" i="6" s="1"/>
  <c r="H17" i="5"/>
  <c r="E116" i="6"/>
  <c r="F115" i="6"/>
  <c r="G30" i="5"/>
  <c r="L114" i="6"/>
  <c r="F29" i="6"/>
  <c r="G27" i="6"/>
  <c r="H101" i="6"/>
  <c r="G103" i="6"/>
  <c r="G51" i="6"/>
  <c r="F53" i="6"/>
  <c r="F89" i="6"/>
  <c r="E90" i="6"/>
  <c r="G43" i="5"/>
  <c r="H88" i="6"/>
  <c r="D117" i="6"/>
  <c r="D119" i="6" s="1"/>
  <c r="D43" i="6"/>
  <c r="D30" i="6"/>
  <c r="D32" i="6" s="1"/>
  <c r="D31" i="6"/>
  <c r="N55" i="5"/>
  <c r="K61" i="5" s="1"/>
  <c r="H16" i="5"/>
  <c r="J39" i="6"/>
  <c r="D55" i="6"/>
  <c r="D91" i="6"/>
  <c r="D93" i="6" s="1"/>
  <c r="G40" i="6"/>
  <c r="F41" i="6"/>
  <c r="H103" i="6" l="1"/>
  <c r="I101" i="6"/>
  <c r="E30" i="6"/>
  <c r="E32" i="6" s="1"/>
  <c r="E31" i="6"/>
  <c r="H27" i="6"/>
  <c r="G29" i="6"/>
  <c r="H40" i="6"/>
  <c r="G41" i="6"/>
  <c r="E42" i="6"/>
  <c r="E44" i="6" s="1"/>
  <c r="E43" i="6"/>
  <c r="H30" i="5"/>
  <c r="D92" i="6"/>
  <c r="D118" i="6"/>
  <c r="F116" i="6"/>
  <c r="G115" i="6"/>
  <c r="E54" i="6"/>
  <c r="E56" i="6" s="1"/>
  <c r="I88" i="6"/>
  <c r="K39" i="6"/>
  <c r="H43" i="5"/>
  <c r="I17" i="5"/>
  <c r="G89" i="6"/>
  <c r="F90" i="6"/>
  <c r="F105" i="6"/>
  <c r="O55" i="5"/>
  <c r="L61" i="5" s="1"/>
  <c r="I16" i="5"/>
  <c r="H51" i="6"/>
  <c r="G53" i="6"/>
  <c r="I21" i="3"/>
  <c r="G24" i="3" s="1"/>
  <c r="AF6" i="3" s="1"/>
  <c r="I22" i="3"/>
  <c r="F24" i="3"/>
  <c r="AF8" i="3" s="1"/>
  <c r="D20" i="3" s="1"/>
  <c r="B7" i="5" s="1"/>
  <c r="J22" i="3"/>
  <c r="AF9" i="3"/>
  <c r="E55" i="6" l="1"/>
  <c r="E91" i="6"/>
  <c r="E93" i="6" s="1"/>
  <c r="J17" i="5"/>
  <c r="F42" i="6"/>
  <c r="F44" i="6" s="1"/>
  <c r="I43" i="5"/>
  <c r="B44" i="5"/>
  <c r="B31" i="5"/>
  <c r="B18" i="5"/>
  <c r="F8" i="5"/>
  <c r="I40" i="6"/>
  <c r="H41" i="6"/>
  <c r="L39" i="6"/>
  <c r="J88" i="6"/>
  <c r="H89" i="6"/>
  <c r="G90" i="6"/>
  <c r="H53" i="6"/>
  <c r="I51" i="6"/>
  <c r="H115" i="6"/>
  <c r="G116" i="6"/>
  <c r="G104" i="6"/>
  <c r="G106" i="6" s="1"/>
  <c r="I30" i="5"/>
  <c r="H29" i="6"/>
  <c r="I27" i="6"/>
  <c r="P55" i="5"/>
  <c r="M61" i="5" s="1"/>
  <c r="J16" i="5"/>
  <c r="F54" i="6"/>
  <c r="F56" i="6" s="1"/>
  <c r="F30" i="6"/>
  <c r="F32" i="6" s="1"/>
  <c r="I103" i="6"/>
  <c r="J101" i="6"/>
  <c r="E117" i="6"/>
  <c r="E119" i="6" s="1"/>
  <c r="J30" i="5" l="1"/>
  <c r="B21" i="5"/>
  <c r="B34" i="5"/>
  <c r="B47" i="5"/>
  <c r="K101" i="6"/>
  <c r="J103" i="6"/>
  <c r="C18" i="5"/>
  <c r="B19" i="5"/>
  <c r="G105" i="6"/>
  <c r="C31" i="5"/>
  <c r="B32" i="5"/>
  <c r="C44" i="5"/>
  <c r="B45" i="5"/>
  <c r="I115" i="6"/>
  <c r="H116" i="6"/>
  <c r="F31" i="6"/>
  <c r="F55" i="6"/>
  <c r="J51" i="6"/>
  <c r="I53" i="6"/>
  <c r="J43" i="5"/>
  <c r="I29" i="6"/>
  <c r="J27" i="6"/>
  <c r="J40" i="6"/>
  <c r="I41" i="6"/>
  <c r="E118" i="6"/>
  <c r="Q55" i="5"/>
  <c r="N61" i="5" s="1"/>
  <c r="K16" i="5"/>
  <c r="F43" i="6"/>
  <c r="I89" i="6"/>
  <c r="H90" i="6"/>
  <c r="K17" i="5"/>
  <c r="K88" i="6"/>
  <c r="E92" i="6"/>
  <c r="F91" i="6" l="1"/>
  <c r="F93" i="6" s="1"/>
  <c r="D44" i="5"/>
  <c r="C45" i="5"/>
  <c r="F117" i="6"/>
  <c r="F119" i="6" s="1"/>
  <c r="F118" i="6"/>
  <c r="C32" i="5"/>
  <c r="D31" i="5"/>
  <c r="K40" i="6"/>
  <c r="J41" i="6"/>
  <c r="H104" i="6"/>
  <c r="H106" i="6" s="1"/>
  <c r="H105" i="6"/>
  <c r="L88" i="6"/>
  <c r="J29" i="6"/>
  <c r="K27" i="6"/>
  <c r="C19" i="5"/>
  <c r="C20" i="5" s="1"/>
  <c r="D18" i="5"/>
  <c r="K43" i="5"/>
  <c r="L101" i="6"/>
  <c r="L103" i="6" s="1"/>
  <c r="K103" i="6"/>
  <c r="L17" i="5"/>
  <c r="C46" i="5"/>
  <c r="C47" i="5"/>
  <c r="C33" i="5"/>
  <c r="C34" i="5"/>
  <c r="J89" i="6"/>
  <c r="I90" i="6"/>
  <c r="K51" i="6"/>
  <c r="J53" i="6"/>
  <c r="G42" i="6"/>
  <c r="G44" i="6" s="1"/>
  <c r="G43" i="6"/>
  <c r="G54" i="6"/>
  <c r="G56" i="6" s="1"/>
  <c r="K30" i="5"/>
  <c r="G30" i="6"/>
  <c r="G32" i="6" s="1"/>
  <c r="J115" i="6"/>
  <c r="I116" i="6"/>
  <c r="L16" i="5"/>
  <c r="R55" i="5"/>
  <c r="O61" i="5" s="1"/>
  <c r="C22" i="5" l="1"/>
  <c r="J56" i="5"/>
  <c r="G62" i="5" s="1"/>
  <c r="C21" i="5"/>
  <c r="S55" i="5"/>
  <c r="P61" i="5" s="1"/>
  <c r="K29" i="6"/>
  <c r="L27" i="6"/>
  <c r="L29" i="6" s="1"/>
  <c r="K115" i="6"/>
  <c r="J116" i="6"/>
  <c r="C35" i="5"/>
  <c r="J57" i="5"/>
  <c r="G63" i="5" s="1"/>
  <c r="G31" i="6"/>
  <c r="I104" i="6"/>
  <c r="I106" i="6" s="1"/>
  <c r="D46" i="5"/>
  <c r="L30" i="5"/>
  <c r="J58" i="5"/>
  <c r="G64" i="5" s="1"/>
  <c r="C48" i="5"/>
  <c r="L40" i="6"/>
  <c r="L41" i="6" s="1"/>
  <c r="K41" i="6"/>
  <c r="G55" i="6"/>
  <c r="E31" i="5"/>
  <c r="D32" i="5"/>
  <c r="D33" i="5" s="1"/>
  <c r="H43" i="6"/>
  <c r="H42" i="6"/>
  <c r="H44" i="6" s="1"/>
  <c r="G117" i="6"/>
  <c r="G119" i="6" s="1"/>
  <c r="L43" i="5"/>
  <c r="E44" i="5"/>
  <c r="D45" i="5"/>
  <c r="D19" i="5"/>
  <c r="E18" i="5"/>
  <c r="F92" i="6"/>
  <c r="K89" i="6"/>
  <c r="J90" i="6"/>
  <c r="L51" i="6"/>
  <c r="L53" i="6" s="1"/>
  <c r="K53" i="6"/>
  <c r="D35" i="5" l="1"/>
  <c r="K57" i="5"/>
  <c r="H63" i="5" s="1"/>
  <c r="D34" i="5"/>
  <c r="I42" i="6"/>
  <c r="I44" i="6" s="1"/>
  <c r="E32" i="5"/>
  <c r="F31" i="5"/>
  <c r="L89" i="6"/>
  <c r="L90" i="6" s="1"/>
  <c r="K90" i="6"/>
  <c r="H54" i="6"/>
  <c r="H56" i="6" s="1"/>
  <c r="H55" i="6"/>
  <c r="G91" i="6"/>
  <c r="G93" i="6" s="1"/>
  <c r="E19" i="5"/>
  <c r="F18" i="5"/>
  <c r="L115" i="6"/>
  <c r="L116" i="6" s="1"/>
  <c r="K116" i="6"/>
  <c r="F44" i="5"/>
  <c r="E45" i="5"/>
  <c r="D48" i="5"/>
  <c r="K58" i="5"/>
  <c r="H64" i="5" s="1"/>
  <c r="D47" i="5"/>
  <c r="D20" i="5"/>
  <c r="G118" i="6"/>
  <c r="I105" i="6"/>
  <c r="H30" i="6"/>
  <c r="H32" i="6" s="1"/>
  <c r="H31" i="6"/>
  <c r="I43" i="6" l="1"/>
  <c r="G44" i="5"/>
  <c r="F45" i="5"/>
  <c r="I30" i="6"/>
  <c r="I32" i="6" s="1"/>
  <c r="J104" i="6"/>
  <c r="J106" i="6" s="1"/>
  <c r="J42" i="6"/>
  <c r="J44" i="6" s="1"/>
  <c r="E33" i="5"/>
  <c r="G92" i="6"/>
  <c r="H117" i="6"/>
  <c r="H119" i="6" s="1"/>
  <c r="H118" i="6"/>
  <c r="I54" i="6"/>
  <c r="I56" i="6" s="1"/>
  <c r="D22" i="5"/>
  <c r="K56" i="5"/>
  <c r="H62" i="5" s="1"/>
  <c r="D21" i="5"/>
  <c r="E46" i="5"/>
  <c r="E47" i="5" s="1"/>
  <c r="G31" i="5"/>
  <c r="F32" i="5"/>
  <c r="F19" i="5"/>
  <c r="G18" i="5"/>
  <c r="J105" i="6" l="1"/>
  <c r="H31" i="5"/>
  <c r="G32" i="5"/>
  <c r="K104" i="6"/>
  <c r="K106" i="6" s="1"/>
  <c r="K105" i="6"/>
  <c r="I55" i="6"/>
  <c r="I117" i="6"/>
  <c r="I119" i="6" s="1"/>
  <c r="H91" i="6"/>
  <c r="H93" i="6" s="1"/>
  <c r="L57" i="5"/>
  <c r="I63" i="5" s="1"/>
  <c r="E35" i="5"/>
  <c r="E34" i="5"/>
  <c r="G19" i="5"/>
  <c r="H18" i="5"/>
  <c r="J43" i="6"/>
  <c r="F46" i="5"/>
  <c r="L58" i="5"/>
  <c r="I64" i="5" s="1"/>
  <c r="E48" i="5"/>
  <c r="I31" i="6"/>
  <c r="E20" i="5"/>
  <c r="E21" i="5"/>
  <c r="H44" i="5"/>
  <c r="G45" i="5"/>
  <c r="H92" i="6" l="1"/>
  <c r="F20" i="5"/>
  <c r="F21" i="5"/>
  <c r="L56" i="5"/>
  <c r="I62" i="5" s="1"/>
  <c r="E22" i="5"/>
  <c r="J54" i="6"/>
  <c r="J56" i="6" s="1"/>
  <c r="J55" i="6"/>
  <c r="J30" i="6"/>
  <c r="J32" i="6" s="1"/>
  <c r="J31" i="6"/>
  <c r="L104" i="6"/>
  <c r="L106" i="6" s="1"/>
  <c r="B107" i="6" s="1"/>
  <c r="B109" i="6" s="1"/>
  <c r="F48" i="5"/>
  <c r="M58" i="5"/>
  <c r="J64" i="5" s="1"/>
  <c r="I31" i="5"/>
  <c r="H32" i="5"/>
  <c r="F47" i="5"/>
  <c r="K42" i="6"/>
  <c r="K44" i="6" s="1"/>
  <c r="H19" i="5"/>
  <c r="I18" i="5"/>
  <c r="F33" i="5"/>
  <c r="F34" i="5"/>
  <c r="I91" i="6"/>
  <c r="I93" i="6" s="1"/>
  <c r="I92" i="6"/>
  <c r="I44" i="5"/>
  <c r="H45" i="5"/>
  <c r="I118" i="6"/>
  <c r="K43" i="6" l="1"/>
  <c r="G33" i="5"/>
  <c r="K54" i="6"/>
  <c r="K56" i="6" s="1"/>
  <c r="K55" i="6"/>
  <c r="M57" i="5"/>
  <c r="J63" i="5" s="1"/>
  <c r="F35" i="5"/>
  <c r="I19" i="5"/>
  <c r="J18" i="5"/>
  <c r="L42" i="6"/>
  <c r="L44" i="6" s="1"/>
  <c r="B45" i="6" s="1"/>
  <c r="B46" i="6" s="1"/>
  <c r="G20" i="5"/>
  <c r="M56" i="5"/>
  <c r="J62" i="5" s="1"/>
  <c r="F22" i="5"/>
  <c r="G46" i="5"/>
  <c r="G47" i="5"/>
  <c r="I32" i="5"/>
  <c r="J31" i="5"/>
  <c r="J117" i="6"/>
  <c r="J119" i="6" s="1"/>
  <c r="J118" i="6"/>
  <c r="B110" i="6"/>
  <c r="C110" i="6" s="1"/>
  <c r="C83" i="6" s="1"/>
  <c r="C109" i="6"/>
  <c r="B83" i="6" s="1"/>
  <c r="J44" i="5"/>
  <c r="I45" i="5"/>
  <c r="L105" i="6"/>
  <c r="J91" i="6"/>
  <c r="J93" i="6" s="1"/>
  <c r="J92" i="6"/>
  <c r="K30" i="6"/>
  <c r="K32" i="6" s="1"/>
  <c r="K31" i="6"/>
  <c r="K117" i="6" l="1"/>
  <c r="K119" i="6" s="1"/>
  <c r="L30" i="6"/>
  <c r="L32" i="6" s="1"/>
  <c r="B33" i="6" s="1"/>
  <c r="B34" i="6" s="1"/>
  <c r="L31" i="6"/>
  <c r="N56" i="5"/>
  <c r="K62" i="5" s="1"/>
  <c r="G22" i="5"/>
  <c r="K91" i="6"/>
  <c r="K93" i="6" s="1"/>
  <c r="G21" i="5"/>
  <c r="B22" i="6"/>
  <c r="B47" i="6"/>
  <c r="C22" i="6" s="1"/>
  <c r="L43" i="6"/>
  <c r="K44" i="5"/>
  <c r="J45" i="5"/>
  <c r="J19" i="5"/>
  <c r="K18" i="5"/>
  <c r="L54" i="6"/>
  <c r="L56" i="6" s="1"/>
  <c r="B57" i="6" s="1"/>
  <c r="B58" i="6" s="1"/>
  <c r="K31" i="5"/>
  <c r="J32" i="5"/>
  <c r="G35" i="5"/>
  <c r="N57" i="5"/>
  <c r="K63" i="5" s="1"/>
  <c r="H46" i="5"/>
  <c r="G34" i="5"/>
  <c r="G48" i="5"/>
  <c r="N58" i="5"/>
  <c r="K64" i="5" s="1"/>
  <c r="K92" i="6" l="1"/>
  <c r="L55" i="6"/>
  <c r="K19" i="5"/>
  <c r="L18" i="5"/>
  <c r="L19" i="5" s="1"/>
  <c r="L44" i="5"/>
  <c r="L45" i="5" s="1"/>
  <c r="K45" i="5"/>
  <c r="H33" i="5"/>
  <c r="H20" i="5"/>
  <c r="H48" i="5"/>
  <c r="O58" i="5"/>
  <c r="L64" i="5" s="1"/>
  <c r="L91" i="6"/>
  <c r="L93" i="6" s="1"/>
  <c r="B94" i="6" s="1"/>
  <c r="B96" i="6" s="1"/>
  <c r="H47" i="5"/>
  <c r="L31" i="5"/>
  <c r="L32" i="5" s="1"/>
  <c r="K32" i="5"/>
  <c r="B35" i="6"/>
  <c r="C21" i="6" s="1"/>
  <c r="B21" i="6"/>
  <c r="B23" i="6"/>
  <c r="B59" i="6"/>
  <c r="C23" i="6" s="1"/>
  <c r="K118" i="6"/>
  <c r="L92" i="6" l="1"/>
  <c r="O57" i="5"/>
  <c r="L63" i="5" s="1"/>
  <c r="H35" i="5"/>
  <c r="I46" i="5"/>
  <c r="I47" i="5"/>
  <c r="B97" i="6"/>
  <c r="C97" i="6" s="1"/>
  <c r="C82" i="6" s="1"/>
  <c r="C96" i="6"/>
  <c r="B82" i="6" s="1"/>
  <c r="O56" i="5"/>
  <c r="L62" i="5" s="1"/>
  <c r="H22" i="5"/>
  <c r="H21" i="5"/>
  <c r="L117" i="6"/>
  <c r="L119" i="6" s="1"/>
  <c r="B120" i="6" s="1"/>
  <c r="B122" i="6" s="1"/>
  <c r="L118" i="6"/>
  <c r="H34" i="5"/>
  <c r="I33" i="5" l="1"/>
  <c r="I34" i="5"/>
  <c r="B123" i="6"/>
  <c r="C123" i="6" s="1"/>
  <c r="C84" i="6" s="1"/>
  <c r="C122" i="6"/>
  <c r="B84" i="6" s="1"/>
  <c r="I20" i="5"/>
  <c r="I21" i="5"/>
  <c r="J46" i="5"/>
  <c r="J47" i="5" s="1"/>
  <c r="P58" i="5"/>
  <c r="M64" i="5" s="1"/>
  <c r="I48" i="5"/>
  <c r="K46" i="5" l="1"/>
  <c r="K47" i="5" s="1"/>
  <c r="Q58" i="5"/>
  <c r="N64" i="5" s="1"/>
  <c r="J48" i="5"/>
  <c r="J20" i="5"/>
  <c r="J21" i="5"/>
  <c r="P56" i="5"/>
  <c r="M62" i="5" s="1"/>
  <c r="I22" i="5"/>
  <c r="J33" i="5"/>
  <c r="P57" i="5"/>
  <c r="M63" i="5" s="1"/>
  <c r="I35" i="5"/>
  <c r="L46" i="5" l="1"/>
  <c r="Q57" i="5"/>
  <c r="N63" i="5" s="1"/>
  <c r="J35" i="5"/>
  <c r="K20" i="5"/>
  <c r="J22" i="5"/>
  <c r="Q56" i="5"/>
  <c r="N62" i="5" s="1"/>
  <c r="J34" i="5"/>
  <c r="K48" i="5"/>
  <c r="R58" i="5"/>
  <c r="O64" i="5" s="1"/>
  <c r="K22" i="5" l="1"/>
  <c r="R56" i="5"/>
  <c r="O62" i="5" s="1"/>
  <c r="K33" i="5"/>
  <c r="K34" i="5"/>
  <c r="K21" i="5"/>
  <c r="L48" i="5"/>
  <c r="B49" i="5" s="1"/>
  <c r="B51" i="5" s="1"/>
  <c r="S58" i="5"/>
  <c r="P64" i="5" s="1"/>
  <c r="L47" i="5"/>
  <c r="C51" i="5" l="1"/>
  <c r="B13" i="5" s="1"/>
  <c r="E13" i="5" s="1"/>
  <c r="G30" i="3" s="1"/>
  <c r="B52" i="5"/>
  <c r="C52" i="5" s="1"/>
  <c r="C13" i="5" s="1"/>
  <c r="F30" i="3" s="1"/>
  <c r="L20" i="5"/>
  <c r="L33" i="5"/>
  <c r="L34" i="5" s="1"/>
  <c r="R57" i="5"/>
  <c r="O63" i="5" s="1"/>
  <c r="K35" i="5"/>
  <c r="S57" i="5" l="1"/>
  <c r="P63" i="5" s="1"/>
  <c r="L35" i="5"/>
  <c r="B36" i="5" s="1"/>
  <c r="B38" i="5" s="1"/>
  <c r="L22" i="5"/>
  <c r="B23" i="5" s="1"/>
  <c r="B25" i="5" s="1"/>
  <c r="S56" i="5"/>
  <c r="P62" i="5" s="1"/>
  <c r="L21" i="5"/>
  <c r="C38" i="5" l="1"/>
  <c r="B12" i="5" s="1"/>
  <c r="E12" i="5" s="1"/>
  <c r="G29" i="3" s="1"/>
  <c r="B39" i="5"/>
  <c r="C39" i="5" s="1"/>
  <c r="C12" i="5" s="1"/>
  <c r="F29" i="3" s="1"/>
  <c r="C25" i="5"/>
  <c r="B11" i="5" s="1"/>
  <c r="E11" i="5" s="1"/>
  <c r="G28" i="3" s="1"/>
  <c r="B26" i="5"/>
  <c r="C26" i="5" s="1"/>
  <c r="C11" i="5" s="1"/>
  <c r="F28" i="3" s="1"/>
  <c r="F31" i="3" s="1"/>
  <c r="C28" i="3" l="1"/>
  <c r="D28" i="3" s="1"/>
  <c r="G31" i="3"/>
  <c r="C30" i="3"/>
  <c r="C29" i="3"/>
</calcChain>
</file>

<file path=xl/sharedStrings.xml><?xml version="1.0" encoding="utf-8"?>
<sst xmlns="http://schemas.openxmlformats.org/spreadsheetml/2006/main" count="1060" uniqueCount="435">
  <si>
    <t>기본 사용법</t>
  </si>
  <si>
    <t>1. 반드시 인터넷 익스플로러(크롬 안됨)를 이용해서, comp.fnguide.com(www.fnguide.com 아님)에 접속합니다.</t>
  </si>
  <si>
    <t>2. 우상단 창에 원하는 종목을 입력하여 검색하신 후, snapshot 화면을 전체선택(ctrl + a)하고 복사하여(ctrl + c) "FN_Snapshot" 시트의 A1셀을 선택한 다음 '주변서식에 맞추기'로 붙여 넣습니다.</t>
  </si>
  <si>
    <t>3. 결과 시트를 확인합니다.</t>
  </si>
  <si>
    <t>크롬(Chrome) 사용법</t>
  </si>
  <si>
    <t>1. 인터넷 익스플로러 서비스가 중단됨에 따라, 구글 크롬(Chrome)에서도 본 마법사를 활용하는 방법을 안내드립니다.</t>
  </si>
  <si>
    <t>2. 크롬에서 chrome 웹 스토어(https://chrome.google.com/webstore/category/extensions?hl=ko)로 접속합니다.</t>
  </si>
  <si>
    <t>3. 좌측 상단 '스토어 검색'에서 'IE Tab' (대소문자 관계 없음)을 검색합니다.</t>
  </si>
  <si>
    <t>4. 첫번째로 나오는 IE Tab을 클릭하고, 우측에 있는 'Chrome에 추가' 버튼을 클릭하고, '확장 프로그램 추가'를 클릭합니다.</t>
  </si>
  <si>
    <t>5. 즉시 추가가 되고, 우측 상단에 퍼즐모양 아이콘을 클릭하고 IE Tab을 클릭합니다.</t>
  </si>
  <si>
    <t>6. 이제 IE Tab을 통해서 comp.fnguide.com으로 접속하고, 위의 '기본 사용법'을 따라 동일하게 진행합니다.</t>
  </si>
  <si>
    <t>RIM 수기계산 사용</t>
  </si>
  <si>
    <t>여러 가지 에러 상황(정확한 원인은 알 수 없으나, 붙여넣기만 하면 엑셀이 그냥 다운되버린다는 경우 등이 간혹 있음)에 대비하여, 수기계산 시트 추가</t>
  </si>
  <si>
    <t>"[Type 1] 단순입력(간편식-책)"은 책 "재무제표 모르면 주식투자 절대로 하지 마라"에 소개된 계산식을 바탕으로 주황색 시트에 기초자료 입력하여 산출</t>
  </si>
  <si>
    <t>"[Type 2] 단순입력(성장반영 10년 시뮬레이션)"은 Type 1이 성장을 반영하지 못한다는(초과이익이 단순히 계속된다는 가정) 단점을 고려하여, 회사가 ROE를 유지하면 이익은 계속 증가한다는 점을 시뮬레이션을 통해 반영</t>
  </si>
  <si>
    <t>"[Type 3] 상세입력(성장반영 10년 시뮬레이션)"은 fnguide 화면 조회는 되나 붙여넣기가 안되는 경우(붙여넣기만 하면 컴퓨터가 다운되거나 먹통이 되는 등 개개인의 PC사정에 따라 다양한 경우가 있음)를 대비하여 주황색 란에 직접 fnguide 자료를 입력하여 산출</t>
  </si>
  <si>
    <t>연도 오류 발생시 대처법</t>
  </si>
  <si>
    <t>Snapshot에 붙여넣을 때 연도 데이터는 날짜 형식으로 붙고, 일반숫자는 숫자 형식으로 붙게 되는데 새로 붙여 넣은 회사의 연도 위치가 다르면 주변서식에 맞추기를 선택했을 때 날짜가 일반 숫자 형식으로 인식되어 오류가 발생함</t>
  </si>
  <si>
    <t>해결 방법은 기존에 인식된 서식을 지우는 것임</t>
  </si>
  <si>
    <t>FN_Snapshot의 A부터 I까지의 열을 선택한 다음 홈 메뉴의 지우기 - '모두 지우기' 나 '서식 지우기'를 선택하면 됨</t>
  </si>
  <si>
    <t>이렇게 서식을 지운 다음 다시 '주변서식에 맞추기'로 붙여 넣으면 됩니다.</t>
  </si>
  <si>
    <t>업데이트 내용</t>
  </si>
  <si>
    <t>(V30)</t>
  </si>
  <si>
    <t>Snapshot만 붙여 넣어도 되도록 변경(재무제표와 컨센서스를 붙여 넣을 필요가 없습니다)</t>
  </si>
  <si>
    <t>달라진 fnguide 양식 반영</t>
  </si>
  <si>
    <t>RIM수기계산 시트 추가</t>
  </si>
  <si>
    <t>업종비교 추가</t>
  </si>
  <si>
    <t>(V31)</t>
  </si>
  <si>
    <t>연도 오류 발생시 대처법 추가</t>
  </si>
  <si>
    <t>(V32)</t>
  </si>
  <si>
    <t>일부 신규상장 종목에 대한 오류 개선</t>
  </si>
  <si>
    <t>(V33)</t>
  </si>
  <si>
    <t>컨센서스 이용시 컨센 3년 + 10년으로 총 13년의 초과이익을 가져오던 것을, 다른 방법과 동일하게 3년+7년으로 10년을 가져와 계산하도록 변경</t>
  </si>
  <si>
    <t>참고영상</t>
  </si>
  <si>
    <t>실적이 좋아져도 주가가 빠지는 이유 5분 정리 [헬프미 사프로 Ep.01]</t>
  </si>
  <si>
    <t>영업이익은 마이너스, 그런데 현금흐름은 플러스? 이런 회사 괜찮을까? [헬프미 사프로 Ep.02]</t>
  </si>
  <si>
    <t>ROE가 큰 순환주기를 그리는 산업군, 평균값 어떻게 정하죠? [헬프미 사프로 Ep.03]</t>
  </si>
  <si>
    <t>자산이라고 다 같은 자산이 아니다? [헬프미 사프로 Ep.04]</t>
  </si>
  <si>
    <t>유상증자를 할 때 재무제표에서 살펴볼 것은? [헬프미 사프로 Ep.05]</t>
  </si>
  <si>
    <t>복잡한 이벤트가 잦은 회사, 과연 투자해도 괜찮을까? [헬프미 사프로 Ep.06]</t>
  </si>
  <si>
    <t>본문 바로가기 메뉴 바로가기</t>
  </si>
  <si>
    <t>상장기업분석</t>
  </si>
  <si>
    <t>리포트 조회 통합 모바일앱 리타민 출시리포트 조회 통합 모바일앱 리타민 출시</t>
  </si>
  <si>
    <t>열기</t>
  </si>
  <si>
    <t>인쇄</t>
  </si>
  <si>
    <t>기업정보</t>
  </si>
  <si>
    <t>Snapshot기업개요재무제표재무비율투자지표컨센서스</t>
  </si>
  <si>
    <t>지분분석업종분석경쟁사비교거래소공시금감원공시</t>
  </si>
  <si>
    <t>ETF/ETN 정보</t>
  </si>
  <si>
    <t>ETF Snapshot 성과 및 위험분석 ETN Snapshot</t>
  </si>
  <si>
    <t>리포트</t>
  </si>
  <si>
    <t>리포트동향 요약리포트</t>
  </si>
  <si>
    <t>실적속보</t>
  </si>
  <si>
    <t>컨센서스 스크리닝</t>
  </si>
  <si>
    <t>목표주가 괴리율 컨센서스 상/하향 비율 어닝서프라이즈 턴어라운드</t>
  </si>
  <si>
    <t>랭킹 분석</t>
  </si>
  <si>
    <t>업종별 순위 지표별 순위 ETF 순위</t>
  </si>
  <si>
    <t>캘린더</t>
  </si>
  <si>
    <t>부가정보</t>
  </si>
  <si>
    <t>신용등급 기업주소록</t>
  </si>
  <si>
    <t>이용안내</t>
  </si>
  <si>
    <t>황금에스티</t>
  </si>
  <si>
    <t>| 홈페이지</t>
  </si>
  <si>
    <t>홈페이지</t>
  </si>
  <si>
    <t>http://www.samsung.com</t>
  </si>
  <si>
    <t>전화번호</t>
  </si>
  <si>
    <t>031-200-1114 | IR 담당자 02-2255-9000</t>
  </si>
  <si>
    <t>주소</t>
  </si>
  <si>
    <t>경기도 수원시 영통구 삼성로 129 (매탄동)</t>
  </si>
  <si>
    <t>KSE  코스피 전기,전자코스피 전기,전자 |FICS 휴대폰 및 관련부품|12월 결산|K200</t>
  </si>
  <si>
    <t>PER(Price Earning Ratio)</t>
  </si>
  <si>
    <t>전일자 보통주 수정주가 / 최근 결산 EPS(주당순이익)</t>
  </si>
  <si>
    <t>* EPS = 당기순이익 / 수정평균발행주식수</t>
  </si>
  <si>
    <t>* 최근결산은 2021/12 (연간) 기준임.</t>
  </si>
  <si>
    <t>PER</t>
  </si>
  <si>
    <t>12M PER</t>
  </si>
  <si>
    <t>전일자 보통주 수정주가 / 12개월 Forward EPS</t>
  </si>
  <si>
    <t>업종 PER</t>
  </si>
  <si>
    <t>시장대표업종||SUM(구성종목 시가총액)/SUM(구성종목 당기순이익)</t>
  </si>
  <si>
    <t>* 전일자 보통주 시가총액 기준</t>
  </si>
  <si>
    <t>* 당기순이익은 최근결산 2021/12 (연간) 기준임.</t>
  </si>
  <si>
    <t>PBR(Price Book-value Ratio)</t>
  </si>
  <si>
    <t>전일자 보통주 수정주가 / 최근 결산기 BPS(주당순자산)</t>
  </si>
  <si>
    <t>* BPS=(지배주주지분-자기주식) / 무상조정기말주식수(우선주 및 자사주 포함)</t>
  </si>
  <si>
    <t>PBR</t>
  </si>
  <si>
    <t>배당수익률</t>
  </si>
  <si>
    <t>{최근 결산기 보통주 DPS(현금, 무상조정) / 전일자 보통주 수정주가} *100</t>
  </si>
  <si>
    <t>3개월1년3년</t>
  </si>
  <si>
    <t>SELLBUY</t>
  </si>
  <si>
    <t>외국인 보유비중 시가총액</t>
  </si>
  <si>
    <t>삼성전자 코스피 전기,전자 KOSPI</t>
  </si>
  <si>
    <t>주가추이, 내부자거래1년</t>
  </si>
  <si>
    <t>주가추이,내부자거래 차트: 자세한 내용은 클릭후 팝업창 참고</t>
  </si>
  <si>
    <t>외국인 보유비중, 시가총액1년</t>
  </si>
  <si>
    <t>외국인 보유비중,시가총액 차트 : 자세한 내용은 클릭후 팝업창 참고</t>
  </si>
  <si>
    <t>상대수익률</t>
  </si>
  <si>
    <t>* 상대수익률은 조회시작일의 값을 100포인트로 변환하여 산출된</t>
  </si>
  <si>
    <t>   값입니다.</t>
  </si>
  <si>
    <t>* 특정일의 상대수익률 포인트는 (특정일의 지수 및 주가/조회 기준</t>
  </si>
  <si>
    <t>   시작점의 지수 및 주가) * 100 입니다.</t>
  </si>
  <si>
    <t>상대수익률1년</t>
  </si>
  <si>
    <t>상대수익률 차트 : 자세한 내용은 클릭후 팝업창 참고</t>
  </si>
  <si>
    <t>시세현황</t>
  </si>
  <si>
    <t>[2022/03/02]</t>
  </si>
  <si>
    <t>단위 : 원, 주,%</t>
  </si>
  <si>
    <t>종가/ 전일대비</t>
  </si>
  <si>
    <t xml:space="preserve">6,080/ </t>
  </si>
  <si>
    <t>거래량</t>
  </si>
  <si>
    <t>52주.최고가/ 최저가</t>
  </si>
  <si>
    <t>86,000/ 68,800</t>
  </si>
  <si>
    <t>거래대금(억원)</t>
  </si>
  <si>
    <t>수익률(1M/ 3M/ 6M/ 1Y)</t>
  </si>
  <si>
    <t>외국인 보유비중</t>
  </si>
  <si>
    <t>시가총액(상장예정포함)</t>
  </si>
  <si>
    <t>베타(1년)</t>
  </si>
  <si>
    <t>시가총액(상장예정포함): 종가*(상장주식수+상장예정주식수), (보통주+우선주)</t>
  </si>
  <si>
    <t>시가총액(보통주)+시가총액(우선주)</t>
  </si>
  <si>
    <t>* 상장예정주식수: 유무상증자, 주식배당의 권리락일(배당락일)이 지났으나, 상장되지 않은 주식수</t>
  </si>
  <si>
    <t>시가총액(상장예정포함,억원)</t>
  </si>
  <si>
    <t>시가총액(보통주)</t>
  </si>
  <si>
    <t>액면가</t>
  </si>
  <si>
    <t>종가(보통주)*상장주식수(보통주)</t>
  </si>
  <si>
    <t>시가총액(보통주,억원)</t>
  </si>
  <si>
    <t>발행주식수(보통주/ 우선주)</t>
  </si>
  <si>
    <t>17,000,000/ 0</t>
  </si>
  <si>
    <t>유동주식수/비율</t>
  </si>
  <si>
    <t>4,461,067,468 / 74.73</t>
  </si>
  <si>
    <t>유동주식비율 = 유동주식수 / 지수산정주식수 * 100.</t>
  </si>
  <si>
    <t>유동주식수 = 지수산정주식수-(최대주주등(본인+특별관계자)+우리사주+자사주+보호예수+정부기관(5%이상)+해외DR).</t>
  </si>
  <si>
    <t>유동주식수/비율(보통주)</t>
  </si>
  <si>
    <t>실적이슈</t>
  </si>
  <si>
    <t>[2021/12 기준, 결산]</t>
  </si>
  <si>
    <t>확정실적(영업이익, 억원)</t>
  </si>
  <si>
    <t>예상실적(영업이익, 억원)</t>
  </si>
  <si>
    <t>  3개월전예상실적대비(%)</t>
  </si>
  <si>
    <t>  전년동기대비(%)</t>
  </si>
  <si>
    <t>운용사별 보유 현황</t>
  </si>
  <si>
    <t>[2021/12]</t>
  </si>
  <si>
    <t>단위 : 천주, 억원, %</t>
  </si>
  <si>
    <t>운용사명</t>
  </si>
  <si>
    <t>보유수량</t>
  </si>
  <si>
    <t>시가평가액</t>
  </si>
  <si>
    <t>상장주식수내비중</t>
  </si>
  <si>
    <t>운용사내비중</t>
  </si>
  <si>
    <t>삼성자산운용</t>
  </si>
  <si>
    <t>미래에셋자산운용</t>
  </si>
  <si>
    <t>케이비자산운용</t>
  </si>
  <si>
    <t>한국투자신탁운용</t>
  </si>
  <si>
    <t>엔에이치아문디자산운용</t>
  </si>
  <si>
    <t>신영자산운용</t>
  </si>
  <si>
    <t>교보악사자산운용</t>
  </si>
  <si>
    <t>신한자산운용</t>
  </si>
  <si>
    <t>한화자산운용</t>
  </si>
  <si>
    <t>키움투자자산운용</t>
  </si>
  <si>
    <t>* 컨텐츠의 보유 수량, 상장주식 내 비중, 운용사 내 비중 값은 최근 분기말에 공시한 공모펀드 보고서 기준이며, 보유수량 기준 상위 10위 까지 운용사를 보여줍니다.</t>
  </si>
  <si>
    <t>주주현황</t>
  </si>
  <si>
    <t>단위 : 주, %</t>
  </si>
  <si>
    <t>항목</t>
  </si>
  <si>
    <t>보통주</t>
  </si>
  <si>
    <t>지분율</t>
  </si>
  <si>
    <t>최종변동일</t>
  </si>
  <si>
    <t>삼성생명보험(외 16인)주주명^지분율(%)||||삼성생명보험^8.51||||삼성물산^5.01||||홍라희^2.30||||이재용^1.63||||삼성화재해상보험^1.49</t>
  </si>
  <si>
    <t>국민연금공단</t>
  </si>
  <si>
    <t>BlackRock Fund Advisors(외 15인)주주명^지분율(%)||||BlackRock Fund Advisors^2.05||||BlackRock Institutional Trust Company, N.A.^1.05||||BlackRock Advisors (UK) Limited^0.69||||BlackRock Investment Management (UK) Limited^0.45||||BlackRock Financial Management, Inc^0.24</t>
  </si>
  <si>
    <t>이병철</t>
  </si>
  <si>
    <t>서병삼</t>
  </si>
  <si>
    <t>윤주화</t>
  </si>
  <si>
    <t>* 위 내용은 금융감독원 지분공시보고서 기준으로 작성되었으며 (단, 자기주식 현황은 별도관리), 주주명은 지분율 상위 6개 까지만 보여집니다.</t>
  </si>
  <si>
    <t>* 보통주 지분율이 5%미만이고, 임원이 아닌 주주는 지분공시제출 제외 대상으로서 표시할 수 없습니다.</t>
  </si>
  <si>
    <t>주주구분 현황</t>
  </si>
  <si>
    <t>자세히보기</t>
  </si>
  <si>
    <t>주주구분</t>
  </si>
  <si>
    <t>대표주주수</t>
  </si>
  <si>
    <t>최대주주등 (본인+특별관계자)</t>
  </si>
  <si>
    <t>10%이상주주 (본인+특별관계자)</t>
  </si>
  <si>
    <t>5%이상주주 (본인+특별관계자)</t>
  </si>
  <si>
    <t>임원 (5%미만 중, 임원인자)</t>
  </si>
  <si>
    <t>자기주식 (자사주+자사주신탁)</t>
  </si>
  <si>
    <t>우리사주조합</t>
  </si>
  <si>
    <t>* 주주 구분자별 지분율은 서로 중복되지 않습니다.</t>
  </si>
  <si>
    <t>신용등급현황 기업어음 (CP)</t>
  </si>
  <si>
    <t>신용등급현황 기업어읍(CP)</t>
  </si>
  <si>
    <t>KIS</t>
  </si>
  <si>
    <t>KR</t>
  </si>
  <si>
    <t>NICE</t>
  </si>
  <si>
    <t>관련 데이터가 없습니다.</t>
  </si>
  <si>
    <t>신용등급현황 회사채(Bond)</t>
  </si>
  <si>
    <t>AAA [2004/05/25]</t>
  </si>
  <si>
    <t>AAA [2004/06/17]</t>
  </si>
  <si>
    <t>AAA [2004/06/01]</t>
  </si>
  <si>
    <t>투자의견 컨센서스</t>
  </si>
  <si>
    <t>단위 : 배, 원, %</t>
  </si>
  <si>
    <t>Buy</t>
  </si>
  <si>
    <t>강력매도</t>
  </si>
  <si>
    <t>매도</t>
  </si>
  <si>
    <t>중립</t>
  </si>
  <si>
    <t>매수</t>
  </si>
  <si>
    <t>강력매수</t>
  </si>
  <si>
    <t>투자의견</t>
  </si>
  <si>
    <t>목표주가</t>
  </si>
  <si>
    <t>EPS</t>
  </si>
  <si>
    <t>추정기관수</t>
  </si>
  <si>
    <t>* 1=Sell, 2=U/Weight, 3=Neutral, 4=Buy, 5=S/Buy</t>
  </si>
  <si>
    <t>* EPS, PER 은 FY1에 대한 증권사 평균 추정실적임.</t>
  </si>
  <si>
    <t>투자의견 및 목표주가</t>
  </si>
  <si>
    <t>투자의견,적정주가,수정주가 차트 : 자세한 내용은 클릭후 팝업창 참고</t>
  </si>
  <si>
    <t>투자의견 분포</t>
  </si>
  <si>
    <t xml:space="preserve">관련 데이터가 없습니다. </t>
  </si>
  <si>
    <t>Business Summary</t>
  </si>
  <si>
    <t>[2022/01/27]</t>
  </si>
  <si>
    <t>반도체 호조로 사상 최대 분기 실적</t>
  </si>
  <si>
    <t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t>
  </si>
  <si>
    <t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t>
  </si>
  <si>
    <t>글로벌 경쟁사 비교</t>
  </si>
  <si>
    <t>주요지표</t>
  </si>
  <si>
    <t>시가총액 매출액    PER      ROE   </t>
  </si>
  <si>
    <t xml:space="preserve">삼성전자4,819,325억원 (100점만점기준) </t>
  </si>
  <si>
    <t xml:space="preserve">삼성전자2,796,048억원 (100점만점기준) </t>
  </si>
  <si>
    <t xml:space="preserve">삼성전자12.41배 (100점만점기준) </t>
  </si>
  <si>
    <t xml:space="preserve">삼성전자13.92 % (100점만점기준) </t>
  </si>
  <si>
    <t xml:space="preserve">Alphabet Class C10,211,123억원 (100점만점기준) </t>
  </si>
  <si>
    <t xml:space="preserve">Alphabet Class C3,106,072억원 (100점만점기준) </t>
  </si>
  <si>
    <t xml:space="preserve">Alphabet Class C23.92배 (100점만점기준) </t>
  </si>
  <si>
    <t xml:space="preserve">Alphabet Class C32.07 % (100점만점기준) </t>
  </si>
  <si>
    <t xml:space="preserve">NVIDIA7,075,968억원 (100점만점기준) </t>
  </si>
  <si>
    <t xml:space="preserve">NVIDIA324,475억원 (100점만점기준) </t>
  </si>
  <si>
    <t xml:space="preserve">NVIDIA61.03배 (100점만점기준) </t>
  </si>
  <si>
    <t xml:space="preserve">NVIDIA44.83 % (100점만점기준) </t>
  </si>
  <si>
    <t xml:space="preserve">Taiwan Semiconductor Manufacturing6,696,513억원 (100점만점기준) </t>
  </si>
  <si>
    <t xml:space="preserve">Taiwan Semiconductor Manufacturing682,112억원 (100점만점기준) </t>
  </si>
  <si>
    <t xml:space="preserve">Taiwan Semiconductor Manufacturing26.12배 (100점만점기준) </t>
  </si>
  <si>
    <t xml:space="preserve">Taiwan Semiconductor Manufacturing29.69 % (100점만점기준) </t>
  </si>
  <si>
    <t>수익률비교</t>
  </si>
  <si>
    <t>3개월 1년  3년 </t>
  </si>
  <si>
    <t>단위 : %</t>
  </si>
  <si>
    <t>업종 비교</t>
  </si>
  <si>
    <t>[연결]</t>
  </si>
  <si>
    <t>단위 : 억원, 배, %</t>
  </si>
  <si>
    <t>연결별도</t>
  </si>
  <si>
    <t>구분</t>
  </si>
  <si>
    <t>코스피 전기,전자</t>
  </si>
  <si>
    <t>KOSPI</t>
  </si>
  <si>
    <t>시가총액</t>
  </si>
  <si>
    <t>매출액</t>
  </si>
  <si>
    <t>영업이익</t>
  </si>
  <si>
    <t>EPS(원)</t>
  </si>
  <si>
    <t>최근결산 보통주 수정가 / 최근결산 EPS</t>
  </si>
  <si>
    <t>EV/EBITDA</t>
  </si>
  <si>
    <t>(시가총액+순차입금)/EBITDA</t>
  </si>
  <si>
    <t>ROE</t>
  </si>
  <si>
    <t>EPSPEREV/EBITDAROE배당수익률</t>
  </si>
  <si>
    <t>PER 차트 : 자세한 내용은 클릭후 팝업창 참고</t>
  </si>
  <si>
    <t>삼성전자</t>
  </si>
  <si>
    <t>* 직전 회계년도 결산 Data입니다.(단 시가총액은 전일기준임)</t>
  </si>
  <si>
    <t>* 영업이익은 제조업인 경우 영업이익, 금융업인 경우 영업손익입니다.</t>
  </si>
  <si>
    <t>Band Chart</t>
  </si>
  <si>
    <t>PER Band</t>
  </si>
  <si>
    <t>PER 밴드 차트 : 자세한 내용은 클릭후 팝업창 참고</t>
  </si>
  <si>
    <t>PBR Band</t>
  </si>
  <si>
    <t>PBR 밴드 차트 : 자세한 내용은 클릭후 팝업창 참고</t>
  </si>
  <si>
    <t>주가 및 수급현황</t>
  </si>
  <si>
    <t>대차잔고비중</t>
  </si>
  <si>
    <t>대차잔고비중 차트 : 자세한 내용은 클릭후 팝업창 참고</t>
  </si>
  <si>
    <t>차입공매도비중</t>
  </si>
  <si>
    <t>차입공매도비중 차트 : 자세한 내용은 클릭후 팝업창 참고</t>
  </si>
  <si>
    <t>Financial Highlight</t>
  </si>
  <si>
    <t>[연결|전체]</t>
  </si>
  <si>
    <t>단위 : 억원, %, 배, 천주</t>
  </si>
  <si>
    <t>전체연간분기</t>
  </si>
  <si>
    <t>IFRS(연결)</t>
  </si>
  <si>
    <t>Annual</t>
  </si>
  <si>
    <t>Net Quarter</t>
  </si>
  <si>
    <t>(E) : Estimate</t>
  </si>
  <si>
    <t>컨센서스, 추정치</t>
  </si>
  <si>
    <t>2022/12(E)</t>
  </si>
  <si>
    <t>2022/03(E)</t>
  </si>
  <si>
    <t>영업이익(발표기준)</t>
  </si>
  <si>
    <t>당기순이익</t>
  </si>
  <si>
    <t>  지배주주순이익</t>
  </si>
  <si>
    <t>  비지배주주순이익</t>
  </si>
  <si>
    <t>자산총계</t>
  </si>
  <si>
    <t>부채총계</t>
  </si>
  <si>
    <t>자본총계</t>
  </si>
  <si>
    <t>  지배주주지분</t>
  </si>
  <si>
    <t>  비지배주주지분</t>
  </si>
  <si>
    <t>자본금</t>
  </si>
  <si>
    <t>부채비율(%)</t>
  </si>
  <si>
    <t>(총부채 / 총자본) * 100</t>
  </si>
  <si>
    <t>부채비율</t>
  </si>
  <si>
    <t>유보율(%)</t>
  </si>
  <si>
    <t>(유보액 / 자본금) * 100</t>
  </si>
  <si>
    <t>유보율</t>
  </si>
  <si>
    <t>영업이익률(%)</t>
  </si>
  <si>
    <t>(영업이익 / 영업수익) * 100</t>
  </si>
  <si>
    <t>영업이익률</t>
  </si>
  <si>
    <t>지배주주 귀속순이익률(%)</t>
  </si>
  <si>
    <t>(지배주주순이익 / 영업수익) * 100</t>
  </si>
  <si>
    <t>지배주주순이익률</t>
  </si>
  <si>
    <t>ROA(%)</t>
  </si>
  <si>
    <t>(당기순이익(연율화) / 총자산(평균)) * 100</t>
  </si>
  <si>
    <t>ROA</t>
  </si>
  <si>
    <t>ROE(%)</t>
  </si>
  <si>
    <t>(지배주주순이익(연율화) / 지배주주지분(평균)) * 100</t>
  </si>
  <si>
    <t>지배주주순이익 / 수정평균주식수</t>
  </si>
  <si>
    <t>BPS(원)</t>
  </si>
  <si>
    <t>지배주주순자산(자사주차감전) / 수정기말주식수</t>
  </si>
  <si>
    <t>DPS(원)</t>
  </si>
  <si>
    <t>DPS(보통주,현금) * 무상조정수정계수(보통주)</t>
  </si>
  <si>
    <t>PER(배)</t>
  </si>
  <si>
    <t>수정주가(보통주) / 수정EPS</t>
  </si>
  <si>
    <t>PBR(배)</t>
  </si>
  <si>
    <t>수정주가(보통주) / 수정BPS</t>
  </si>
  <si>
    <t>발행주식수</t>
  </si>
  <si>
    <t>배당수익률(%)</t>
  </si>
  <si>
    <t>(배당금(보통주,현금) / 시가총액(보통)) * 100</t>
  </si>
  <si>
    <t>2023/12(E)</t>
  </si>
  <si>
    <t>2024/12(E)</t>
  </si>
  <si>
    <t>2022/06(E)</t>
  </si>
  <si>
    <t>2022/09(E)</t>
  </si>
  <si>
    <t>IFRS(별도)</t>
  </si>
  <si>
    <t>순이익률(%)</t>
  </si>
  <si>
    <t>순이익률</t>
  </si>
  <si>
    <t>* 주가는 해당 결산기일 수정주가 기준이며, EPS, BPS, DPS는 무상증자와 액면변경, 주식배당 등을 감안하여 현재기준으로 과거 Data를 수정 하였습니다.</t>
  </si>
  <si>
    <t>* 연결기업의 순이익, EPS, 순이익률, ROE, BPS, 자본총계는 지배주주귀속순이익과 지배주주지분 기준입니다.</t>
  </si>
  <si>
    <t>* 영업이익률, EBITDA, EBIT, NOPLAT는 조정영업이익 기준입니다.</t>
  </si>
  <si>
    <t>* 자산총액 2조원 미만의 기업은 2012년까지 분기 및 반기 연결재무제표 의무 공시가 유예되므로, 해당 기업의 연결 기준 Net Quarter의 항목은 비어있는 것이 정상입니다.</t>
  </si>
  <si>
    <t>(단, 재무상태표의 경우 4분기 Net Quarter는 공시되는 Annual과 동일함)</t>
  </si>
  <si>
    <t>* 기업이 발표한 잠정실적에 지배주주순이익이 포함되지 않은 경우, EPS는 순이익/ 평균발행주식수로 계산됩니다.</t>
  </si>
  <si>
    <t>* 기업이 Net Quarter기준으로 잠정실적을 공시하지 않은경우, 해당값은 누적기준 잠정실적에서 전분기까지의 실적을 차감하여 산출합니다.</t>
  </si>
  <si>
    <t>투자회사 종목은 금융감독원 전자공시시스템에 사업보고서를 공시하지 않기에, 기업개요 정보를 제공하지 않습니다.</t>
  </si>
  <si>
    <t>fnguide.com</t>
  </si>
  <si>
    <t>FnGuide에서 제공하는 정보는 신뢰할 만한 자료 및 정보로부터 얻어진 것이나 그 정확성이나 완전성을 보장 할 수 없으며, 시간이 경과함에 따라 변경될 수 있습니다. 따라서 정보의 오류, 누락에 대하여 FnGuide 또는FnGuide에 자료를 제공하는 회사에서는 그 결과에 대해 법적인 책임을 지지 않습니다. 모든 콘텐츠에 대한 저작권은 FnGuide에 있으며 사전 허가없이 이를 무단으로 사용하거나, 데이터 베이스화 할 경우 민형사상 책임을 물을 수 있습니다.</t>
  </si>
  <si>
    <t>웹 접근성 우수사이트 인증마크(WA인증마크)</t>
  </si>
  <si>
    <t>캡션</t>
  </si>
  <si>
    <t>헤더</t>
  </si>
  <si>
    <t>내용</t>
  </si>
  <si>
    <t>공인회계사 사경인</t>
  </si>
  <si>
    <t>사경인 실전투자 아카데미</t>
  </si>
  <si>
    <t>기초자료</t>
  </si>
  <si>
    <t>회사명</t>
  </si>
  <si>
    <t>보통주발행주수</t>
  </si>
  <si>
    <t>현재주가</t>
  </si>
  <si>
    <t>우선주발행주수</t>
  </si>
  <si>
    <t>베타(β)</t>
  </si>
  <si>
    <t>자기주식</t>
  </si>
  <si>
    <t>적용</t>
  </si>
  <si>
    <t>1순위</t>
  </si>
  <si>
    <t>초과이익 가정</t>
  </si>
  <si>
    <t>미적용</t>
  </si>
  <si>
    <t>컨센서스</t>
  </si>
  <si>
    <t>할인(할증)률</t>
  </si>
  <si>
    <t>가중평균</t>
  </si>
  <si>
    <t>최근</t>
  </si>
  <si>
    <t>별도값</t>
  </si>
  <si>
    <t>요구수익률</t>
  </si>
  <si>
    <t>별도 요구수익률</t>
  </si>
  <si>
    <t xml:space="preserve">   무위험이자율</t>
  </si>
  <si>
    <t xml:space="preserve">   시장위험프리미엄</t>
  </si>
  <si>
    <t>최종 적용 할인율</t>
  </si>
  <si>
    <t xml:space="preserve">   참고링크</t>
  </si>
  <si>
    <t>채권수익률</t>
  </si>
  <si>
    <t>ROE 추정</t>
  </si>
  <si>
    <t>년도</t>
  </si>
  <si>
    <t>RIM 적정주가</t>
  </si>
  <si>
    <t>적정가 대비</t>
  </si>
  <si>
    <t>주당 가치</t>
  </si>
  <si>
    <t>주가</t>
  </si>
  <si>
    <t>적정주가</t>
  </si>
  <si>
    <t>초과이익 지속</t>
  </si>
  <si>
    <t>매도가격</t>
  </si>
  <si>
    <t>10%씩 감소</t>
  </si>
  <si>
    <t>매수가격</t>
  </si>
  <si>
    <t>20%씩 감소</t>
  </si>
  <si>
    <t>기타 참고사항</t>
  </si>
  <si>
    <t>올해 예상배당</t>
  </si>
  <si>
    <t>주당배당금</t>
  </si>
  <si>
    <t>배당성향(DPS/EPS)</t>
  </si>
  <si>
    <t>순이익 예측</t>
  </si>
  <si>
    <t>종목명</t>
  </si>
  <si>
    <t>가치평가 지표</t>
  </si>
  <si>
    <t>4분기 합</t>
  </si>
  <si>
    <t>GAAP(개별)</t>
  </si>
  <si>
    <t>최근 결산연도</t>
  </si>
  <si>
    <t>지배주주지분</t>
  </si>
  <si>
    <t>발행주식수(보통+우선)</t>
  </si>
  <si>
    <t>지배주주순이익</t>
  </si>
  <si>
    <t>분석기준시점</t>
  </si>
  <si>
    <t>현재</t>
  </si>
  <si>
    <t>분석종료시점</t>
  </si>
  <si>
    <t>기준시점 주주지분</t>
  </si>
  <si>
    <t>기준시점-현재</t>
  </si>
  <si>
    <t>적정주주가치</t>
  </si>
  <si>
    <t>판단</t>
  </si>
  <si>
    <t>지속</t>
  </si>
  <si>
    <t>적정가격</t>
  </si>
  <si>
    <t>초과이익 지속계수</t>
  </si>
  <si>
    <t>시점</t>
  </si>
  <si>
    <t>초과이익률</t>
  </si>
  <si>
    <t>초과이익</t>
  </si>
  <si>
    <t>PV of RI</t>
  </si>
  <si>
    <t>분석시점 기준</t>
  </si>
  <si>
    <t>현재 기준</t>
  </si>
  <si>
    <t>RIM 주주가치</t>
  </si>
  <si>
    <t>10년 감소</t>
  </si>
  <si>
    <t>5년 감소</t>
  </si>
  <si>
    <t>주황색 셀만 입력하거나 선택합니다.</t>
  </si>
  <si>
    <t>[Type 1] 단순입력(간편식-책)</t>
  </si>
  <si>
    <t>자기자본</t>
  </si>
  <si>
    <t>예상 ROE</t>
  </si>
  <si>
    <t>요구수익률(할인률)</t>
  </si>
  <si>
    <t>기업가치</t>
  </si>
  <si>
    <t>주식수</t>
  </si>
  <si>
    <t>지속계수</t>
  </si>
  <si>
    <t>[Type 2] 단순입력(성장반영 10년 시뮬레이션)</t>
  </si>
  <si>
    <t>Y-0</t>
  </si>
  <si>
    <t>Y-1</t>
  </si>
  <si>
    <t>Y-2</t>
  </si>
  <si>
    <t>Y-3</t>
  </si>
  <si>
    <t>Y-4</t>
  </si>
  <si>
    <t>Y-5</t>
  </si>
  <si>
    <t>Y-6</t>
  </si>
  <si>
    <t>Y-7</t>
  </si>
  <si>
    <t>Y-8</t>
  </si>
  <si>
    <t>Y-9</t>
  </si>
  <si>
    <t>Y-10</t>
  </si>
  <si>
    <t>[Type 3] 상세입력(성장반영 10년 시뮬레이션)</t>
  </si>
  <si>
    <t>Y</t>
  </si>
  <si>
    <t>과거 ROE 추세</t>
  </si>
  <si>
    <t>단순추정 ROE</t>
  </si>
  <si>
    <t>과거 ROE(직접입력)</t>
  </si>
  <si>
    <t>컨센 ROE(있는 자료만)</t>
  </si>
  <si>
    <t>지배주주순이익(입력)</t>
  </si>
  <si>
    <t>별도 추정</t>
  </si>
  <si>
    <t>지배주주지분(입력)</t>
  </si>
  <si>
    <t>컨센 ROE(계산)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</si>
</sst>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2" formatCode="_-&quot;₩&quot;* #,##0_-;\-&quot;₩&quot;* #,##0_-;_-&quot;₩&quot;* &quot;-&quot;_-;_-@_-"/>
    <numFmt numFmtId="41" formatCode="_-* #,##0_-;\-* #,##0_-;_-* &quot;-&quot;_-;_-@_-"/>
    <numFmt numFmtId="176" formatCode="#,##0.0_ &quot;억&quot;"/>
    <numFmt numFmtId="177" formatCode="#,##0_ &quot;억&quot;"/>
    <numFmt numFmtId="178" formatCode="#,##0_ &quot;주&quot;"/>
    <numFmt numFmtId="179" formatCode="0.0_ "/>
    <numFmt numFmtId="180" formatCode="#,##0_ "/>
    <numFmt numFmtId="181" formatCode="#,##0.0000_ &quot;억&quot;"/>
    <numFmt numFmtId="182" formatCode="yyyy&quot;/&quot;m&quot;/&quot;d;@"/>
    <numFmt numFmtId="183" formatCode="0_ &quot;일&quot;"/>
    <numFmt numFmtId="184" formatCode="yyyy&quot;/&quot;m"/>
    <numFmt numFmtId="185" formatCode="0_);[Red]\(0\)"/>
    <numFmt numFmtId="186" formatCode="0.0_);[Red]\(0.0\)"/>
    <numFmt numFmtId="187" formatCode="[Red]\▲\ 0%;[Blue]\▼\ 0%"/>
    <numFmt numFmtId="188" formatCode="0.00_ "/>
    <numFmt numFmtId="189" formatCode="0.0%"/>
    <numFmt numFmtId="190" formatCode="yyyy"/>
    <numFmt numFmtId="191" formatCode="yyyy&quot;/&quot;mm"/>
    <numFmt numFmtId="192" formatCode="yyyy\-mm\-dd\ h:mm:ss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0.5"/>
      <color theme="0"/>
      <name val="맑은 고딕"/>
      <family val="3"/>
      <charset val="129"/>
      <scheme val="minor"/>
    </font>
    <font>
      <b/>
      <sz val="10.5"/>
      <color theme="1"/>
      <name val="맑은 고딕"/>
      <family val="3"/>
      <charset val="129"/>
      <scheme val="minor"/>
    </font>
    <font>
      <sz val="9"/>
      <color theme="0" tint="-0.34998626667073579"/>
      <name val="맑은 고딕"/>
      <family val="2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10.5"/>
      <color theme="0"/>
      <name val="맑은 고딕"/>
      <family val="3"/>
      <charset val="129"/>
      <scheme val="minor"/>
    </font>
    <font>
      <b/>
      <sz val="10.5"/>
      <color rgb="FFFF0000"/>
      <name val="맑은 고딕"/>
      <family val="3"/>
      <charset val="129"/>
      <scheme val="minor"/>
    </font>
    <font>
      <sz val="10.5"/>
      <name val="맑은 고딕"/>
      <family val="2"/>
      <charset val="129"/>
      <scheme val="minor"/>
    </font>
    <font>
      <sz val="10.5"/>
      <color theme="0" tint="-0.14999847407452621"/>
      <name val="맑은 고딕"/>
      <family val="2"/>
      <charset val="129"/>
      <scheme val="minor"/>
    </font>
    <font>
      <sz val="10.5"/>
      <color theme="0" tint="-0.34998626667073579"/>
      <name val="맑은 고딕"/>
      <family val="2"/>
      <charset val="129"/>
      <scheme val="minor"/>
    </font>
    <font>
      <b/>
      <sz val="10.5"/>
      <color theme="0" tint="-4.9989318521683403E-2"/>
      <name val="맑은 고딕"/>
      <family val="2"/>
      <charset val="129"/>
      <scheme val="minor"/>
    </font>
    <font>
      <u/>
      <sz val="11"/>
      <color theme="10"/>
      <name val="맑은 고딕"/>
      <family val="3"/>
      <charset val="129"/>
    </font>
    <font>
      <b/>
      <sz val="10.5"/>
      <color theme="1"/>
      <name val="맑은 고딕"/>
      <family val="2"/>
      <charset val="129"/>
      <scheme val="minor"/>
    </font>
    <font>
      <b/>
      <u/>
      <sz val="10.5"/>
      <color theme="10"/>
      <name val="맑은 고딕"/>
      <family val="3"/>
      <charset val="129"/>
    </font>
    <font>
      <sz val="10.5"/>
      <color rgb="FF000000"/>
      <name val="맑은 고딕"/>
      <family val="3"/>
      <charset val="129"/>
      <scheme val="minor"/>
    </font>
    <font>
      <b/>
      <sz val="10.5"/>
      <name val="맑은 고딕"/>
      <family val="3"/>
      <charset val="129"/>
      <scheme val="minor"/>
    </font>
    <font>
      <u/>
      <sz val="10.5"/>
      <color theme="10"/>
      <name val="맑은 고딕"/>
      <family val="3"/>
      <charset val="129"/>
    </font>
    <font>
      <b/>
      <sz val="10.5"/>
      <color theme="3" tint="0.39997558519241921"/>
      <name val="맑은 고딕"/>
      <family val="3"/>
      <charset val="129"/>
      <scheme val="minor"/>
    </font>
    <font>
      <sz val="10.5"/>
      <color theme="0" tint="-0.14999847407452621"/>
      <name val="맑은 고딕"/>
      <family val="3"/>
      <charset val="129"/>
      <scheme val="minor"/>
    </font>
    <font>
      <sz val="10.5"/>
      <color rgb="FFFF0000"/>
      <name val="맑은 고딕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>
      <alignment vertical="center"/>
    </xf>
    <xf numFmtId="42" fontId="1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15" fillId="0" borderId="0">
      <alignment vertical="top"/>
      <protection locked="0"/>
    </xf>
  </cellStyleXfs>
  <cellXfs count="21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3" borderId="0" xfId="0" applyFont="1" applyFill="1">
      <alignment vertical="center"/>
    </xf>
    <xf numFmtId="10" fontId="4" fillId="0" borderId="0" xfId="0" applyNumberFormat="1" applyFont="1">
      <alignment vertical="center"/>
    </xf>
    <xf numFmtId="0" fontId="5" fillId="5" borderId="0" xfId="0" applyFont="1" applyFill="1">
      <alignment vertical="center"/>
    </xf>
    <xf numFmtId="0" fontId="3" fillId="0" borderId="1" xfId="0" applyFont="1" applyBorder="1">
      <alignment vertical="center"/>
    </xf>
    <xf numFmtId="10" fontId="4" fillId="0" borderId="1" xfId="0" applyNumberFormat="1" applyFont="1" applyBorder="1">
      <alignment vertical="center"/>
    </xf>
    <xf numFmtId="176" fontId="4" fillId="0" borderId="1" xfId="0" applyNumberFormat="1" applyFont="1" applyBorder="1">
      <alignment vertical="center"/>
    </xf>
    <xf numFmtId="42" fontId="4" fillId="0" borderId="1" xfId="1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177" fontId="4" fillId="4" borderId="1" xfId="0" applyNumberFormat="1" applyFont="1" applyFill="1" applyBorder="1">
      <alignment vertical="center"/>
    </xf>
    <xf numFmtId="10" fontId="4" fillId="4" borderId="1" xfId="0" applyNumberFormat="1" applyFont="1" applyFill="1" applyBorder="1">
      <alignment vertical="center"/>
    </xf>
    <xf numFmtId="178" fontId="4" fillId="4" borderId="1" xfId="0" applyNumberFormat="1" applyFont="1" applyFill="1" applyBorder="1">
      <alignment vertical="center"/>
    </xf>
    <xf numFmtId="0" fontId="4" fillId="2" borderId="2" xfId="0" applyFont="1" applyFill="1" applyBorder="1">
      <alignment vertical="center"/>
    </xf>
    <xf numFmtId="0" fontId="4" fillId="2" borderId="1" xfId="0" applyFont="1" applyFill="1" applyBorder="1">
      <alignment vertical="center"/>
    </xf>
    <xf numFmtId="0" fontId="4" fillId="2" borderId="3" xfId="0" applyFont="1" applyFill="1" applyBorder="1">
      <alignment vertical="center"/>
    </xf>
    <xf numFmtId="0" fontId="3" fillId="6" borderId="1" xfId="0" applyFont="1" applyFill="1" applyBorder="1">
      <alignment vertical="center"/>
    </xf>
    <xf numFmtId="176" fontId="4" fillId="0" borderId="3" xfId="0" applyNumberFormat="1" applyFont="1" applyBorder="1" applyAlignment="1">
      <alignment horizontal="right" vertical="center"/>
    </xf>
    <xf numFmtId="10" fontId="3" fillId="0" borderId="1" xfId="0" applyNumberFormat="1" applyFont="1" applyBorder="1">
      <alignment vertical="center"/>
    </xf>
    <xf numFmtId="176" fontId="3" fillId="0" borderId="1" xfId="0" applyNumberFormat="1" applyFont="1" applyBorder="1">
      <alignment vertical="center"/>
    </xf>
    <xf numFmtId="179" fontId="3" fillId="6" borderId="4" xfId="0" applyNumberFormat="1" applyFont="1" applyFill="1" applyBorder="1">
      <alignment vertical="center"/>
    </xf>
    <xf numFmtId="176" fontId="6" fillId="6" borderId="1" xfId="0" applyNumberFormat="1" applyFont="1" applyFill="1" applyBorder="1" applyAlignment="1">
      <alignment horizontal="right" vertical="center"/>
    </xf>
    <xf numFmtId="42" fontId="6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>
      <alignment vertical="center"/>
    </xf>
    <xf numFmtId="180" fontId="4" fillId="4" borderId="1" xfId="0" applyNumberFormat="1" applyFont="1" applyFill="1" applyBorder="1">
      <alignment vertical="center"/>
    </xf>
    <xf numFmtId="10" fontId="6" fillId="0" borderId="1" xfId="0" applyNumberFormat="1" applyFont="1" applyBorder="1">
      <alignment vertical="center"/>
    </xf>
    <xf numFmtId="10" fontId="6" fillId="0" borderId="1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181" fontId="8" fillId="0" borderId="0" xfId="0" applyNumberFormat="1" applyFont="1">
      <alignment vertical="center"/>
    </xf>
    <xf numFmtId="10" fontId="8" fillId="0" borderId="0" xfId="0" applyNumberFormat="1" applyFont="1">
      <alignment vertical="center"/>
    </xf>
    <xf numFmtId="0" fontId="6" fillId="7" borderId="2" xfId="0" applyFont="1" applyFill="1" applyBorder="1">
      <alignment vertical="center"/>
    </xf>
    <xf numFmtId="0" fontId="4" fillId="0" borderId="0" xfId="0" applyFont="1">
      <alignment vertical="center"/>
    </xf>
    <xf numFmtId="10" fontId="9" fillId="0" borderId="0" xfId="0" applyNumberFormat="1" applyFont="1">
      <alignment vertical="center"/>
    </xf>
    <xf numFmtId="0" fontId="10" fillId="4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176" fontId="4" fillId="8" borderId="1" xfId="0" applyNumberFormat="1" applyFont="1" applyFill="1" applyBorder="1" applyAlignment="1">
      <alignment horizontal="center" vertical="center"/>
    </xf>
    <xf numFmtId="42" fontId="4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>
      <alignment vertical="center"/>
    </xf>
    <xf numFmtId="176" fontId="4" fillId="9" borderId="1" xfId="0" applyNumberFormat="1" applyFont="1" applyFill="1" applyBorder="1" applyAlignment="1">
      <alignment horizontal="center" vertical="center"/>
    </xf>
    <xf numFmtId="42" fontId="4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1" borderId="1" xfId="0" applyFont="1" applyFill="1" applyBorder="1">
      <alignment vertical="center"/>
    </xf>
    <xf numFmtId="176" fontId="4" fillId="11" borderId="1" xfId="0" applyNumberFormat="1" applyFont="1" applyFill="1" applyBorder="1" applyAlignment="1">
      <alignment horizontal="center" vertical="center"/>
    </xf>
    <xf numFmtId="42" fontId="4" fillId="11" borderId="1" xfId="0" applyNumberFormat="1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177" fontId="3" fillId="0" borderId="1" xfId="0" applyNumberFormat="1" applyFont="1" applyBorder="1">
      <alignment vertical="center"/>
    </xf>
    <xf numFmtId="182" fontId="11" fillId="0" borderId="1" xfId="0" applyNumberFormat="1" applyFont="1" applyBorder="1">
      <alignment vertical="center"/>
    </xf>
    <xf numFmtId="10" fontId="12" fillId="2" borderId="2" xfId="0" applyNumberFormat="1" applyFont="1" applyFill="1" applyBorder="1">
      <alignment vertical="center"/>
    </xf>
    <xf numFmtId="10" fontId="12" fillId="2" borderId="5" xfId="0" applyNumberFormat="1" applyFont="1" applyFill="1" applyBorder="1">
      <alignment vertical="center"/>
    </xf>
    <xf numFmtId="10" fontId="12" fillId="2" borderId="6" xfId="0" applyNumberFormat="1" applyFont="1" applyFill="1" applyBorder="1">
      <alignment vertical="center"/>
    </xf>
    <xf numFmtId="180" fontId="10" fillId="4" borderId="3" xfId="0" applyNumberFormat="1" applyFont="1" applyFill="1" applyBorder="1" applyAlignment="1">
      <alignment horizontal="center" vertical="center"/>
    </xf>
    <xf numFmtId="10" fontId="6" fillId="7" borderId="3" xfId="0" applyNumberFormat="1" applyFont="1" applyFill="1" applyBorder="1">
      <alignment vertical="center"/>
    </xf>
    <xf numFmtId="0" fontId="3" fillId="0" borderId="3" xfId="0" applyFont="1" applyBorder="1">
      <alignment vertical="center"/>
    </xf>
    <xf numFmtId="182" fontId="12" fillId="2" borderId="7" xfId="0" applyNumberFormat="1" applyFont="1" applyFill="1" applyBorder="1">
      <alignment vertical="center"/>
    </xf>
    <xf numFmtId="182" fontId="12" fillId="2" borderId="8" xfId="0" applyNumberFormat="1" applyFont="1" applyFill="1" applyBorder="1">
      <alignment vertical="center"/>
    </xf>
    <xf numFmtId="182" fontId="12" fillId="2" borderId="9" xfId="0" applyNumberFormat="1" applyFont="1" applyFill="1" applyBorder="1">
      <alignment vertical="center"/>
    </xf>
    <xf numFmtId="14" fontId="3" fillId="0" borderId="1" xfId="0" applyNumberFormat="1" applyFont="1" applyBorder="1">
      <alignment vertical="center"/>
    </xf>
    <xf numFmtId="183" fontId="3" fillId="0" borderId="1" xfId="0" applyNumberFormat="1" applyFont="1" applyBorder="1">
      <alignment vertical="center"/>
    </xf>
    <xf numFmtId="176" fontId="4" fillId="0" borderId="10" xfId="0" applyNumberFormat="1" applyFont="1" applyBorder="1" applyAlignment="1">
      <alignment horizontal="right" vertical="center"/>
    </xf>
    <xf numFmtId="176" fontId="6" fillId="6" borderId="3" xfId="0" applyNumberFormat="1" applyFont="1" applyFill="1" applyBorder="1" applyAlignment="1">
      <alignment horizontal="right" vertical="center"/>
    </xf>
    <xf numFmtId="0" fontId="3" fillId="5" borderId="0" xfId="0" applyFont="1" applyFill="1">
      <alignment vertical="center"/>
    </xf>
    <xf numFmtId="0" fontId="14" fillId="5" borderId="0" xfId="0" applyFont="1" applyFill="1">
      <alignment vertical="center"/>
    </xf>
    <xf numFmtId="180" fontId="4" fillId="2" borderId="1" xfId="0" applyNumberFormat="1" applyFont="1" applyFill="1" applyBorder="1">
      <alignment vertical="center"/>
    </xf>
    <xf numFmtId="10" fontId="4" fillId="0" borderId="0" xfId="3" applyNumberFormat="1" applyFont="1">
      <alignment vertical="center"/>
    </xf>
    <xf numFmtId="10" fontId="3" fillId="0" borderId="0" xfId="3" applyNumberFormat="1" applyFont="1">
      <alignment vertical="center"/>
    </xf>
    <xf numFmtId="10" fontId="3" fillId="2" borderId="1" xfId="3" applyNumberFormat="1" applyFont="1" applyFill="1" applyBorder="1">
      <alignment vertical="center"/>
    </xf>
    <xf numFmtId="184" fontId="4" fillId="0" borderId="0" xfId="0" applyNumberFormat="1" applyFont="1">
      <alignment vertical="center"/>
    </xf>
    <xf numFmtId="3" fontId="4" fillId="0" borderId="1" xfId="0" applyNumberFormat="1" applyFont="1" applyBorder="1">
      <alignment vertical="center"/>
    </xf>
    <xf numFmtId="184" fontId="4" fillId="2" borderId="1" xfId="0" applyNumberFormat="1" applyFont="1" applyFill="1" applyBorder="1">
      <alignment vertical="center"/>
    </xf>
    <xf numFmtId="184" fontId="6" fillId="2" borderId="1" xfId="0" applyNumberFormat="1" applyFont="1" applyFill="1" applyBorder="1">
      <alignment vertical="center"/>
    </xf>
    <xf numFmtId="3" fontId="6" fillId="0" borderId="1" xfId="0" applyNumberFormat="1" applyFont="1" applyBorder="1">
      <alignment vertical="center"/>
    </xf>
    <xf numFmtId="10" fontId="4" fillId="0" borderId="1" xfId="3" applyNumberFormat="1" applyFont="1" applyBorder="1">
      <alignment vertical="center"/>
    </xf>
    <xf numFmtId="3" fontId="3" fillId="0" borderId="0" xfId="0" applyNumberFormat="1" applyFont="1">
      <alignment vertical="center"/>
    </xf>
    <xf numFmtId="10" fontId="6" fillId="6" borderId="26" xfId="3" applyNumberFormat="1" applyFont="1" applyFill="1" applyBorder="1">
      <alignment vertical="center"/>
    </xf>
    <xf numFmtId="0" fontId="16" fillId="14" borderId="11" xfId="0" applyFont="1" applyFill="1" applyBorder="1" applyAlignment="1">
      <alignment horizontal="center" vertical="center" wrapText="1"/>
    </xf>
    <xf numFmtId="0" fontId="5" fillId="15" borderId="15" xfId="0" applyFont="1" applyFill="1" applyBorder="1">
      <alignment vertical="center"/>
    </xf>
    <xf numFmtId="0" fontId="4" fillId="2" borderId="16" xfId="0" applyFont="1" applyFill="1" applyBorder="1">
      <alignment vertical="center"/>
    </xf>
    <xf numFmtId="0" fontId="6" fillId="10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vertical="center" wrapText="1"/>
    </xf>
    <xf numFmtId="3" fontId="18" fillId="13" borderId="19" xfId="0" applyNumberFormat="1" applyFont="1" applyFill="1" applyBorder="1">
      <alignment vertical="center"/>
    </xf>
    <xf numFmtId="0" fontId="4" fillId="0" borderId="20" xfId="0" applyFont="1" applyBorder="1">
      <alignment vertical="center"/>
    </xf>
    <xf numFmtId="0" fontId="4" fillId="0" borderId="21" xfId="0" applyFont="1" applyBorder="1">
      <alignment vertical="center"/>
    </xf>
    <xf numFmtId="0" fontId="4" fillId="2" borderId="22" xfId="0" applyFont="1" applyFill="1" applyBorder="1" applyAlignment="1">
      <alignment vertical="center" wrapText="1"/>
    </xf>
    <xf numFmtId="3" fontId="18" fillId="13" borderId="3" xfId="0" applyNumberFormat="1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3" fontId="18" fillId="13" borderId="1" xfId="0" applyNumberFormat="1" applyFont="1" applyFill="1" applyBorder="1">
      <alignment vertical="center"/>
    </xf>
    <xf numFmtId="0" fontId="4" fillId="0" borderId="23" xfId="0" applyFont="1" applyBorder="1">
      <alignment vertical="center"/>
    </xf>
    <xf numFmtId="0" fontId="18" fillId="13" borderId="1" xfId="0" applyFont="1" applyFill="1" applyBorder="1">
      <alignment vertical="center"/>
    </xf>
    <xf numFmtId="0" fontId="4" fillId="0" borderId="24" xfId="0" applyFont="1" applyBorder="1">
      <alignment vertical="center"/>
    </xf>
    <xf numFmtId="0" fontId="4" fillId="2" borderId="25" xfId="0" applyFont="1" applyFill="1" applyBorder="1">
      <alignment vertical="center"/>
    </xf>
    <xf numFmtId="0" fontId="6" fillId="7" borderId="30" xfId="0" applyFont="1" applyFill="1" applyBorder="1" applyAlignment="1">
      <alignment horizontal="left" vertical="center"/>
    </xf>
    <xf numFmtId="0" fontId="4" fillId="16" borderId="19" xfId="0" applyFont="1" applyFill="1" applyBorder="1" applyAlignment="1">
      <alignment horizontal="center" vertical="center"/>
    </xf>
    <xf numFmtId="10" fontId="5" fillId="13" borderId="21" xfId="0" applyNumberFormat="1" applyFont="1" applyFill="1" applyBorder="1" applyAlignment="1">
      <alignment horizontal="right" vertical="center"/>
    </xf>
    <xf numFmtId="10" fontId="4" fillId="13" borderId="1" xfId="3" applyNumberFormat="1" applyFont="1" applyFill="1" applyBorder="1">
      <alignment vertical="center"/>
    </xf>
    <xf numFmtId="0" fontId="4" fillId="2" borderId="25" xfId="0" applyFont="1" applyFill="1" applyBorder="1" applyAlignment="1">
      <alignment vertical="center" wrapText="1"/>
    </xf>
    <xf numFmtId="10" fontId="4" fillId="13" borderId="4" xfId="3" applyNumberFormat="1" applyFont="1" applyFill="1" applyBorder="1">
      <alignment vertical="center"/>
    </xf>
    <xf numFmtId="0" fontId="6" fillId="3" borderId="11" xfId="0" applyFont="1" applyFill="1" applyBorder="1" applyAlignment="1">
      <alignment vertical="center" wrapText="1"/>
    </xf>
    <xf numFmtId="10" fontId="19" fillId="3" borderId="31" xfId="3" applyNumberFormat="1" applyFont="1" applyFill="1" applyBorder="1">
      <alignment vertical="center"/>
    </xf>
    <xf numFmtId="0" fontId="4" fillId="2" borderId="32" xfId="0" applyFont="1" applyFill="1" applyBorder="1">
      <alignment vertical="center"/>
    </xf>
    <xf numFmtId="0" fontId="20" fillId="13" borderId="33" xfId="4" applyFont="1" applyFill="1" applyBorder="1" applyAlignment="1" applyProtection="1">
      <alignment horizontal="center" vertical="center"/>
    </xf>
    <xf numFmtId="0" fontId="4" fillId="0" borderId="34" xfId="0" applyFont="1" applyBorder="1">
      <alignment vertical="center"/>
    </xf>
    <xf numFmtId="0" fontId="4" fillId="16" borderId="35" xfId="0" applyFont="1" applyFill="1" applyBorder="1" applyAlignment="1">
      <alignment horizontal="center" vertical="center"/>
    </xf>
    <xf numFmtId="10" fontId="19" fillId="3" borderId="36" xfId="3" applyNumberFormat="1" applyFont="1" applyFill="1" applyBorder="1">
      <alignment vertical="center"/>
    </xf>
    <xf numFmtId="0" fontId="4" fillId="0" borderId="30" xfId="0" applyFont="1" applyBorder="1">
      <alignment vertical="center"/>
    </xf>
    <xf numFmtId="184" fontId="4" fillId="2" borderId="19" xfId="0" applyNumberFormat="1" applyFont="1" applyFill="1" applyBorder="1" applyAlignment="1">
      <alignment horizontal="center" vertical="center"/>
    </xf>
    <xf numFmtId="184" fontId="4" fillId="2" borderId="44" xfId="0" applyNumberFormat="1" applyFont="1" applyFill="1" applyBorder="1" applyAlignment="1">
      <alignment horizontal="center" vertical="center"/>
    </xf>
    <xf numFmtId="184" fontId="4" fillId="14" borderId="30" xfId="0" applyNumberFormat="1" applyFont="1" applyFill="1" applyBorder="1" applyAlignment="1">
      <alignment horizontal="center" vertical="center"/>
    </xf>
    <xf numFmtId="184" fontId="4" fillId="14" borderId="19" xfId="0" applyNumberFormat="1" applyFont="1" applyFill="1" applyBorder="1" applyAlignment="1">
      <alignment horizontal="center" vertical="center"/>
    </xf>
    <xf numFmtId="184" fontId="4" fillId="2" borderId="38" xfId="0" applyNumberFormat="1" applyFont="1" applyFill="1" applyBorder="1" applyAlignment="1">
      <alignment horizontal="center" vertical="center"/>
    </xf>
    <xf numFmtId="0" fontId="21" fillId="0" borderId="0" xfId="0" applyFont="1">
      <alignment vertical="center"/>
    </xf>
    <xf numFmtId="185" fontId="22" fillId="0" borderId="0" xfId="0" applyNumberFormat="1" applyFont="1" applyAlignment="1">
      <alignment horizontal="center" vertical="center"/>
    </xf>
    <xf numFmtId="0" fontId="22" fillId="0" borderId="0" xfId="0" applyFont="1">
      <alignment vertical="center"/>
    </xf>
    <xf numFmtId="186" fontId="22" fillId="0" borderId="0" xfId="0" applyNumberFormat="1" applyFont="1">
      <alignment vertical="center"/>
    </xf>
    <xf numFmtId="185" fontId="22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10" fontId="4" fillId="0" borderId="4" xfId="0" applyNumberFormat="1" applyFont="1" applyBorder="1" applyAlignment="1">
      <alignment horizontal="center" vertical="center"/>
    </xf>
    <xf numFmtId="10" fontId="4" fillId="0" borderId="49" xfId="0" applyNumberFormat="1" applyFont="1" applyBorder="1" applyAlignment="1">
      <alignment horizontal="center" vertical="center"/>
    </xf>
    <xf numFmtId="10" fontId="4" fillId="0" borderId="25" xfId="0" applyNumberFormat="1" applyFont="1" applyBorder="1" applyAlignment="1">
      <alignment horizontal="center" vertical="center"/>
    </xf>
    <xf numFmtId="10" fontId="4" fillId="0" borderId="28" xfId="0" applyNumberFormat="1" applyFont="1" applyBorder="1" applyAlignment="1">
      <alignment horizontal="center" vertical="center"/>
    </xf>
    <xf numFmtId="10" fontId="4" fillId="0" borderId="29" xfId="0" applyNumberFormat="1" applyFont="1" applyBorder="1" applyAlignment="1">
      <alignment horizontal="center" vertical="center"/>
    </xf>
    <xf numFmtId="0" fontId="4" fillId="0" borderId="46" xfId="0" applyFont="1" applyBorder="1">
      <alignment vertical="center"/>
    </xf>
    <xf numFmtId="184" fontId="4" fillId="14" borderId="38" xfId="0" applyNumberFormat="1" applyFont="1" applyFill="1" applyBorder="1" applyAlignment="1">
      <alignment horizontal="center" vertical="center"/>
    </xf>
    <xf numFmtId="184" fontId="4" fillId="2" borderId="9" xfId="0" applyNumberFormat="1" applyFont="1" applyFill="1" applyBorder="1" applyAlignment="1">
      <alignment horizontal="center" vertical="center"/>
    </xf>
    <xf numFmtId="184" fontId="4" fillId="2" borderId="3" xfId="0" applyNumberFormat="1" applyFont="1" applyFill="1" applyBorder="1" applyAlignment="1">
      <alignment horizontal="center" vertical="center"/>
    </xf>
    <xf numFmtId="184" fontId="4" fillId="2" borderId="45" xfId="0" applyNumberFormat="1" applyFont="1" applyFill="1" applyBorder="1" applyAlignment="1">
      <alignment horizontal="center" vertical="center"/>
    </xf>
    <xf numFmtId="0" fontId="4" fillId="0" borderId="47" xfId="0" applyFont="1" applyBorder="1">
      <alignment vertical="center"/>
    </xf>
    <xf numFmtId="10" fontId="4" fillId="0" borderId="27" xfId="0" applyNumberFormat="1" applyFont="1" applyBorder="1" applyAlignment="1">
      <alignment horizontal="center" vertical="center"/>
    </xf>
    <xf numFmtId="10" fontId="4" fillId="0" borderId="48" xfId="0" applyNumberFormat="1" applyFont="1" applyBorder="1" applyAlignment="1">
      <alignment horizontal="center" vertical="center"/>
    </xf>
    <xf numFmtId="10" fontId="22" fillId="0" borderId="29" xfId="0" applyNumberFormat="1" applyFont="1" applyBorder="1" applyAlignment="1">
      <alignment horizontal="center" vertical="center"/>
    </xf>
    <xf numFmtId="0" fontId="5" fillId="5" borderId="37" xfId="0" applyFont="1" applyFill="1" applyBorder="1">
      <alignment vertical="center"/>
    </xf>
    <xf numFmtId="9" fontId="9" fillId="0" borderId="20" xfId="3" applyFont="1" applyBorder="1">
      <alignment vertical="center"/>
    </xf>
    <xf numFmtId="0" fontId="4" fillId="3" borderId="30" xfId="0" applyFont="1" applyFill="1" applyBorder="1" applyAlignment="1">
      <alignment vertical="center" wrapText="1"/>
    </xf>
    <xf numFmtId="3" fontId="4" fillId="12" borderId="38" xfId="0" applyNumberFormat="1" applyFont="1" applyFill="1" applyBorder="1">
      <alignment vertical="center"/>
    </xf>
    <xf numFmtId="0" fontId="4" fillId="7" borderId="15" xfId="0" applyFont="1" applyFill="1" applyBorder="1" applyAlignment="1">
      <alignment horizontal="center" vertical="center"/>
    </xf>
    <xf numFmtId="0" fontId="4" fillId="12" borderId="6" xfId="0" applyFont="1" applyFill="1" applyBorder="1">
      <alignment vertical="center"/>
    </xf>
    <xf numFmtId="0" fontId="4" fillId="12" borderId="2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vertical="center" wrapText="1"/>
    </xf>
    <xf numFmtId="3" fontId="6" fillId="8" borderId="29" xfId="0" applyNumberFormat="1" applyFont="1" applyFill="1" applyBorder="1">
      <alignment vertical="center"/>
    </xf>
    <xf numFmtId="187" fontId="6" fillId="7" borderId="39" xfId="3" applyNumberFormat="1" applyFont="1" applyFill="1" applyBorder="1" applyAlignment="1">
      <alignment horizontal="center" vertical="center"/>
    </xf>
    <xf numFmtId="0" fontId="4" fillId="12" borderId="6" xfId="0" applyFont="1" applyFill="1" applyBorder="1" applyAlignment="1">
      <alignment horizontal="right" vertical="center"/>
    </xf>
    <xf numFmtId="180" fontId="4" fillId="9" borderId="1" xfId="2" applyNumberFormat="1" applyFont="1" applyFill="1" applyBorder="1">
      <alignment vertical="center"/>
    </xf>
    <xf numFmtId="188" fontId="4" fillId="9" borderId="26" xfId="0" applyNumberFormat="1" applyFont="1" applyFill="1" applyBorder="1">
      <alignment vertical="center"/>
    </xf>
    <xf numFmtId="0" fontId="4" fillId="3" borderId="40" xfId="0" applyFont="1" applyFill="1" applyBorder="1" applyAlignment="1">
      <alignment vertical="center" wrapText="1"/>
    </xf>
    <xf numFmtId="3" fontId="18" fillId="9" borderId="3" xfId="0" applyNumberFormat="1" applyFont="1" applyFill="1" applyBorder="1">
      <alignment vertical="center"/>
    </xf>
    <xf numFmtId="0" fontId="4" fillId="12" borderId="1" xfId="0" applyFont="1" applyFill="1" applyBorder="1" applyAlignment="1">
      <alignment horizontal="right" vertical="center"/>
    </xf>
    <xf numFmtId="180" fontId="4" fillId="8" borderId="1" xfId="2" applyNumberFormat="1" applyFont="1" applyFill="1" applyBorder="1">
      <alignment vertical="center"/>
    </xf>
    <xf numFmtId="188" fontId="4" fillId="8" borderId="41" xfId="0" applyNumberFormat="1" applyFont="1" applyFill="1" applyBorder="1">
      <alignment vertical="center"/>
    </xf>
    <xf numFmtId="0" fontId="4" fillId="3" borderId="22" xfId="0" applyFont="1" applyFill="1" applyBorder="1" applyAlignment="1">
      <alignment vertical="center" wrapText="1"/>
    </xf>
    <xf numFmtId="3" fontId="18" fillId="11" borderId="1" xfId="0" applyNumberFormat="1" applyFont="1" applyFill="1" applyBorder="1">
      <alignment vertical="center"/>
    </xf>
    <xf numFmtId="180" fontId="4" fillId="11" borderId="1" xfId="2" applyNumberFormat="1" applyFont="1" applyFill="1" applyBorder="1">
      <alignment vertical="center"/>
    </xf>
    <xf numFmtId="188" fontId="4" fillId="11" borderId="26" xfId="0" applyNumberFormat="1" applyFont="1" applyFill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>
      <alignment vertical="center"/>
    </xf>
    <xf numFmtId="0" fontId="4" fillId="13" borderId="28" xfId="0" applyFont="1" applyFill="1" applyBorder="1" applyAlignment="1">
      <alignment horizontal="center" vertical="center"/>
    </xf>
    <xf numFmtId="0" fontId="4" fillId="13" borderId="29" xfId="0" applyFont="1" applyFill="1" applyBorder="1" applyAlignment="1">
      <alignment horizontal="center" vertical="center"/>
    </xf>
    <xf numFmtId="0" fontId="5" fillId="5" borderId="30" xfId="0" applyFont="1" applyFill="1" applyBorder="1">
      <alignment vertical="center"/>
    </xf>
    <xf numFmtId="0" fontId="4" fillId="2" borderId="38" xfId="0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0" fontId="4" fillId="0" borderId="26" xfId="1" applyNumberFormat="1" applyFont="1" applyBorder="1" applyAlignment="1">
      <alignment horizontal="center" vertical="center"/>
    </xf>
    <xf numFmtId="0" fontId="4" fillId="6" borderId="22" xfId="0" applyFont="1" applyFill="1" applyBorder="1">
      <alignment vertical="center"/>
    </xf>
    <xf numFmtId="10" fontId="4" fillId="6" borderId="1" xfId="0" applyNumberFormat="1" applyFont="1" applyFill="1" applyBorder="1" applyAlignment="1">
      <alignment horizontal="center" vertical="center"/>
    </xf>
    <xf numFmtId="10" fontId="4" fillId="0" borderId="26" xfId="0" applyNumberFormat="1" applyFont="1" applyBorder="1">
      <alignment vertical="center"/>
    </xf>
    <xf numFmtId="3" fontId="4" fillId="0" borderId="26" xfId="0" applyNumberFormat="1" applyFont="1" applyBorder="1">
      <alignment vertical="center"/>
    </xf>
    <xf numFmtId="0" fontId="4" fillId="0" borderId="27" xfId="0" applyFont="1" applyBorder="1">
      <alignment vertical="center"/>
    </xf>
    <xf numFmtId="189" fontId="4" fillId="0" borderId="28" xfId="3" applyNumberFormat="1" applyFont="1" applyBorder="1">
      <alignment vertical="center"/>
    </xf>
    <xf numFmtId="189" fontId="4" fillId="0" borderId="29" xfId="3" applyNumberFormat="1" applyFont="1" applyBorder="1">
      <alignment vertical="center"/>
    </xf>
    <xf numFmtId="0" fontId="4" fillId="3" borderId="17" xfId="0" applyFont="1" applyFill="1" applyBorder="1" applyAlignment="1">
      <alignment vertical="center" wrapText="1"/>
    </xf>
    <xf numFmtId="0" fontId="5" fillId="15" borderId="17" xfId="0" applyFont="1" applyFill="1" applyBorder="1">
      <alignment vertical="center"/>
    </xf>
    <xf numFmtId="0" fontId="4" fillId="0" borderId="1" xfId="0" applyFont="1" applyBorder="1">
      <alignment vertical="center"/>
    </xf>
    <xf numFmtId="10" fontId="3" fillId="0" borderId="0" xfId="0" applyNumberFormat="1" applyFont="1">
      <alignment vertical="center"/>
    </xf>
    <xf numFmtId="190" fontId="3" fillId="0" borderId="0" xfId="0" applyNumberFormat="1" applyFont="1">
      <alignment vertical="center"/>
    </xf>
    <xf numFmtId="0" fontId="0" fillId="9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176" fontId="3" fillId="0" borderId="0" xfId="0" applyNumberFormat="1" applyFont="1">
      <alignment vertical="center"/>
    </xf>
    <xf numFmtId="190" fontId="3" fillId="0" borderId="1" xfId="0" applyNumberFormat="1" applyFont="1" applyBorder="1">
      <alignment vertical="center"/>
    </xf>
    <xf numFmtId="0" fontId="23" fillId="5" borderId="0" xfId="0" applyFont="1" applyFill="1">
      <alignment vertical="center"/>
    </xf>
    <xf numFmtId="0" fontId="4" fillId="2" borderId="1" xfId="0" applyFont="1" applyFill="1" applyBorder="1" applyAlignment="1">
      <alignment horizontal="center" vertical="center"/>
    </xf>
    <xf numFmtId="4" fontId="4" fillId="0" borderId="1" xfId="0" applyNumberFormat="1" applyFont="1" applyBorder="1">
      <alignment vertical="center"/>
    </xf>
    <xf numFmtId="0" fontId="4" fillId="2" borderId="19" xfId="0" applyFont="1" applyFill="1" applyBorder="1" applyAlignment="1">
      <alignment horizontal="center" vertical="center"/>
    </xf>
    <xf numFmtId="0" fontId="3" fillId="2" borderId="22" xfId="0" applyFont="1" applyFill="1" applyBorder="1">
      <alignment vertical="center"/>
    </xf>
    <xf numFmtId="4" fontId="4" fillId="0" borderId="26" xfId="0" applyNumberFormat="1" applyFont="1" applyBorder="1">
      <alignment vertical="center"/>
    </xf>
    <xf numFmtId="0" fontId="3" fillId="2" borderId="27" xfId="0" applyFont="1" applyFill="1" applyBorder="1">
      <alignment vertical="center"/>
    </xf>
    <xf numFmtId="10" fontId="4" fillId="0" borderId="28" xfId="0" applyNumberFormat="1" applyFont="1" applyBorder="1">
      <alignment vertical="center"/>
    </xf>
    <xf numFmtId="10" fontId="4" fillId="0" borderId="29" xfId="0" applyNumberFormat="1" applyFont="1" applyBorder="1">
      <alignment vertical="center"/>
    </xf>
    <xf numFmtId="0" fontId="3" fillId="0" borderId="0" xfId="0" applyFont="1" applyAlignment="1">
      <alignment vertical="center" wrapText="1"/>
    </xf>
    <xf numFmtId="10" fontId="22" fillId="0" borderId="0" xfId="3" applyNumberFormat="1" applyFont="1" applyAlignment="1">
      <alignment horizontal="center" vertical="center"/>
    </xf>
    <xf numFmtId="0" fontId="15" fillId="0" borderId="0" xfId="4" applyAlignment="1" applyProtection="1">
      <alignment vertical="center"/>
    </xf>
    <xf numFmtId="10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0" fillId="0" borderId="0" xfId="0" applyFont="1">
      <alignment vertical="center"/>
    </xf>
    <xf numFmtId="191" fontId="3" fillId="0" borderId="0" xfId="0" applyNumberFormat="1" applyFont="1">
      <alignment vertical="center"/>
    </xf>
    <xf numFmtId="191" fontId="3" fillId="0" borderId="1" xfId="0" applyNumberFormat="1" applyFont="1" applyBorder="1">
      <alignment vertical="center"/>
    </xf>
    <xf numFmtId="0" fontId="0" fillId="0" borderId="0" xfId="0" applyAlignment="1"/>
    <xf numFmtId="192" fontId="3" fillId="0" borderId="0" xfId="0" applyNumberFormat="1" applyFont="1">
      <alignment vertical="center"/>
    </xf>
    <xf numFmtId="0" fontId="4" fillId="0" borderId="22" xfId="0" applyFont="1" applyBorder="1">
      <alignment vertical="center"/>
    </xf>
    <xf numFmtId="0" fontId="0" fillId="0" borderId="5" xfId="0" applyBorder="1" applyAlignment="1"/>
    <xf numFmtId="0" fontId="0" fillId="0" borderId="6" xfId="0" applyBorder="1" applyAlignment="1"/>
    <xf numFmtId="0" fontId="6" fillId="14" borderId="50" xfId="0" applyFont="1" applyFill="1" applyBorder="1" applyAlignment="1">
      <alignment horizontal="right" vertical="center"/>
    </xf>
    <xf numFmtId="0" fontId="0" fillId="0" borderId="12" xfId="0" applyBorder="1" applyAlignment="1"/>
    <xf numFmtId="0" fontId="17" fillId="14" borderId="31" xfId="4" applyFont="1" applyFill="1" applyBorder="1" applyAlignment="1" applyProtection="1">
      <alignment horizontal="right" vertical="center"/>
    </xf>
    <xf numFmtId="0" fontId="0" fillId="0" borderId="13" xfId="0" applyBorder="1" applyAlignment="1"/>
    <xf numFmtId="0" fontId="0" fillId="0" borderId="14" xfId="0" applyBorder="1" applyAlignment="1"/>
    <xf numFmtId="0" fontId="4" fillId="0" borderId="27" xfId="0" applyFont="1" applyBorder="1" applyAlignment="1">
      <alignment vertical="center" wrapText="1" shrinkToFit="1"/>
    </xf>
    <xf numFmtId="0" fontId="0" fillId="0" borderId="51" xfId="0" applyBorder="1" applyAlignment="1"/>
    <xf numFmtId="0" fontId="0" fillId="0" borderId="48" xfId="0" applyBorder="1" applyAlignment="1"/>
    <xf numFmtId="0" fontId="4" fillId="0" borderId="22" xfId="0" applyFont="1" applyBorder="1" applyAlignment="1">
      <alignment vertical="center" wrapText="1" shrinkToFit="1"/>
    </xf>
  </cellXfs>
  <cellStyles count="5">
    <cellStyle name="백분율" xfId="3" builtinId="5"/>
    <cellStyle name="쉼표 [0]" xfId="2" builtinId="6"/>
    <cellStyle name="통화 [0]" xfId="1" builtinId="7"/>
    <cellStyle name="표준" xfId="0" builtinId="0"/>
    <cellStyle name="하이퍼링크" xfId="4" builtinId="8"/>
  </cellStyles>
  <dxfs count="15">
    <dxf>
      <font>
        <color theme="1"/>
      </font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1"/>
      </font>
      <fill>
        <patternFill>
          <bgColor theme="0" tint="-0.1499374370555742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ont>
        <b/>
        <color rgb="FFFF0000"/>
      </font>
      <fill>
        <patternFill>
          <bgColor theme="5" tint="0.79998168889431442"/>
        </patternFill>
      </fill>
    </dxf>
    <dxf>
      <font>
        <b/>
        <color theme="6" tint="-0.24994659260841701"/>
      </font>
      <fill>
        <patternFill>
          <bgColor theme="6" tint="0.79998168889431442"/>
        </patternFill>
      </fill>
    </dxf>
    <dxf>
      <fill>
        <patternFill>
          <bgColor rgb="FFC0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1"/>
      </font>
      <fill>
        <patternFill>
          <bgColor theme="9" tint="0.39994506668294322"/>
        </patternFill>
      </fill>
    </dxf>
    <dxf>
      <font>
        <b/>
        <color auto="1"/>
      </font>
      <fill>
        <patternFill>
          <bgColor theme="9" tint="0.39994506668294322"/>
        </patternFill>
      </fill>
    </dxf>
    <dxf>
      <fill>
        <patternFill>
          <bgColor rgb="FFC00000"/>
        </patternFill>
      </fill>
    </dxf>
    <dxf>
      <font>
        <b/>
        <color theme="1"/>
      </font>
      <fill>
        <patternFill>
          <bgColor theme="9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RIM계산!$A$62</c:f>
              <c:strCache>
                <c:ptCount val="1"/>
                <c:pt idx="0">
                  <c:v>초과이익 지속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444-49C5-8884-8E7A9C926B0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444-49C5-8884-8E7A9C926B0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444-49C5-8884-8E7A9C926B0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444-49C5-8884-8E7A9C926B0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444-49C5-8884-8E7A9C926B0A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RIM계산!$B$62:$P$62</c:f>
              <c:numCache>
                <c:formatCode>#,##0</c:formatCode>
                <c:ptCount val="15"/>
                <c:pt idx="0">
                  <c:v>168</c:v>
                </c:pt>
                <c:pt idx="1">
                  <c:v>298</c:v>
                </c:pt>
                <c:pt idx="2">
                  <c:v>404</c:v>
                </c:pt>
                <c:pt idx="3">
                  <c:v>241</c:v>
                </c:pt>
                <c:pt idx="4">
                  <c:v>163</c:v>
                </c:pt>
                <c:pt idx="5">
                  <c:v>257.10374999999999</c:v>
                </c:pt>
                <c:pt idx="6">
                  <c:v>274.38540706250001</c:v>
                </c:pt>
                <c:pt idx="7">
                  <c:v>292.82867950721771</c:v>
                </c:pt>
                <c:pt idx="8">
                  <c:v>312.51164724809456</c:v>
                </c:pt>
                <c:pt idx="9">
                  <c:v>333.51763847062068</c:v>
                </c:pt>
                <c:pt idx="10">
                  <c:v>355.93558240315423</c:v>
                </c:pt>
                <c:pt idx="11">
                  <c:v>379.86038580035296</c:v>
                </c:pt>
                <c:pt idx="12">
                  <c:v>405.39333473256664</c:v>
                </c:pt>
                <c:pt idx="13">
                  <c:v>432.64252338217398</c:v>
                </c:pt>
                <c:pt idx="14">
                  <c:v>461.72331166217907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3444-49C5-8884-8E7A9C926B0A}"/>
            </c:ext>
          </c:extLst>
        </c:ser>
        <c:ser>
          <c:idx val="1"/>
          <c:order val="1"/>
          <c:tx>
            <c:strRef>
              <c:f>RIM계산!$A$63</c:f>
              <c:strCache>
                <c:ptCount val="1"/>
                <c:pt idx="0">
                  <c:v>10년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C-3444-49C5-8884-8E7A9C926B0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E-3444-49C5-8884-8E7A9C926B0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0-3444-49C5-8884-8E7A9C926B0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2-3444-49C5-8884-8E7A9C926B0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4-3444-49C5-8884-8E7A9C926B0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444-49C5-8884-8E7A9C926B0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RIM계산!$B$63:$P$63</c:f>
              <c:numCache>
                <c:formatCode>#,##0</c:formatCode>
                <c:ptCount val="15"/>
                <c:pt idx="0">
                  <c:v>168</c:v>
                </c:pt>
                <c:pt idx="1">
                  <c:v>298</c:v>
                </c:pt>
                <c:pt idx="2">
                  <c:v>404</c:v>
                </c:pt>
                <c:pt idx="3">
                  <c:v>241</c:v>
                </c:pt>
                <c:pt idx="4">
                  <c:v>163</c:v>
                </c:pt>
                <c:pt idx="5">
                  <c:v>270.63787499999995</c:v>
                </c:pt>
                <c:pt idx="6">
                  <c:v>302.82941665856248</c:v>
                </c:pt>
                <c:pt idx="7">
                  <c:v>337.82669949284622</c:v>
                </c:pt>
                <c:pt idx="8">
                  <c:v>375.99067480608454</c:v>
                </c:pt>
                <c:pt idx="9">
                  <c:v>417.70686405377489</c:v>
                </c:pt>
                <c:pt idx="10">
                  <c:v>463.39031835362897</c:v>
                </c:pt>
                <c:pt idx="11">
                  <c:v>513.49054964082382</c:v>
                </c:pt>
                <c:pt idx="12">
                  <c:v>568.49656096119486</c:v>
                </c:pt>
                <c:pt idx="13">
                  <c:v>628.94208217641892</c:v>
                </c:pt>
                <c:pt idx="14">
                  <c:v>695.4111036227348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444-49C5-8884-8E7A9C926B0A}"/>
            </c:ext>
          </c:extLst>
        </c:ser>
        <c:ser>
          <c:idx val="2"/>
          <c:order val="2"/>
          <c:tx>
            <c:strRef>
              <c:f>RIM계산!$A$64</c:f>
              <c:strCache>
                <c:ptCount val="1"/>
                <c:pt idx="0">
                  <c:v>5년 감소</c:v>
                </c:pt>
              </c:strCache>
            </c:strRef>
          </c:tx>
          <c:spPr>
            <a:ln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8-3444-49C5-8884-8E7A9C926B0A}"/>
              </c:ext>
            </c:extLst>
          </c:dPt>
          <c:dPt>
            <c:idx val="1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A-3444-49C5-8884-8E7A9C926B0A}"/>
              </c:ext>
            </c:extLst>
          </c:dPt>
          <c:dPt>
            <c:idx val="2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C-3444-49C5-8884-8E7A9C926B0A}"/>
              </c:ext>
            </c:extLst>
          </c:dPt>
          <c:dPt>
            <c:idx val="3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1E-3444-49C5-8884-8E7A9C926B0A}"/>
              </c:ext>
            </c:extLst>
          </c:dPt>
          <c:dPt>
            <c:idx val="4"/>
            <c:invertIfNegative val="0"/>
            <c:bubble3D val="0"/>
            <c:spPr>
              <a:solidFill>
                <a:sysClr val="window" lastClr="FFFFFF">
                  <a:lumMod val="50000"/>
                </a:sysClr>
              </a:solidFill>
              <a:ln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20-3444-49C5-8884-8E7A9C926B0A}"/>
              </c:ext>
            </c:extLst>
          </c:dPt>
          <c:dLbls>
            <c:dLbl>
              <c:idx val="14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3444-49C5-8884-8E7A9C926B0A}"/>
                </c:ext>
              </c:extLst>
            </c:dLbl>
            <c:spPr>
              <a:noFill/>
              <a:ln>
                <a:noFill/>
                <a:prstDash val="solid"/>
              </a:ln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RIM계산!$B$61:$P$61</c:f>
              <c:numCache>
                <c:formatCode>yyyy</c:formatCode>
                <c:ptCount val="15"/>
                <c:pt idx="0">
                  <c:v>44196</c:v>
                </c:pt>
                <c:pt idx="1">
                  <c:v>44561</c:v>
                </c:pt>
                <c:pt idx="2">
                  <c:v>44926</c:v>
                </c:pt>
                <c:pt idx="3">
                  <c:v>45291</c:v>
                </c:pt>
                <c:pt idx="4">
                  <c:v>45657</c:v>
                </c:pt>
                <c:pt idx="5">
                  <c:v>46022</c:v>
                </c:pt>
                <c:pt idx="6">
                  <c:v>46387</c:v>
                </c:pt>
                <c:pt idx="7">
                  <c:v>46752</c:v>
                </c:pt>
                <c:pt idx="8">
                  <c:v>47117</c:v>
                </c:pt>
                <c:pt idx="9">
                  <c:v>47482</c:v>
                </c:pt>
                <c:pt idx="10">
                  <c:v>47847</c:v>
                </c:pt>
                <c:pt idx="11">
                  <c:v>48212</c:v>
                </c:pt>
                <c:pt idx="12">
                  <c:v>48577</c:v>
                </c:pt>
                <c:pt idx="13">
                  <c:v>48942</c:v>
                </c:pt>
                <c:pt idx="14">
                  <c:v>49307</c:v>
                </c:pt>
              </c:numCache>
            </c:numRef>
          </c:cat>
          <c:val>
            <c:numRef>
              <c:f>RIM계산!$B$64:$P$64</c:f>
              <c:numCache>
                <c:formatCode>#,##0</c:formatCode>
                <c:ptCount val="15"/>
                <c:pt idx="0">
                  <c:v>168</c:v>
                </c:pt>
                <c:pt idx="1">
                  <c:v>298</c:v>
                </c:pt>
                <c:pt idx="2">
                  <c:v>404</c:v>
                </c:pt>
                <c:pt idx="3">
                  <c:v>241</c:v>
                </c:pt>
                <c:pt idx="4">
                  <c:v>163</c:v>
                </c:pt>
                <c:pt idx="5">
                  <c:v>284.17199999999997</c:v>
                </c:pt>
                <c:pt idx="6">
                  <c:v>328.54747753599992</c:v>
                </c:pt>
                <c:pt idx="7">
                  <c:v>374.91510894829065</c:v>
                </c:pt>
                <c:pt idx="8">
                  <c:v>424.02673134291013</c:v>
                </c:pt>
                <c:pt idx="9">
                  <c:v>476.56544936793432</c:v>
                </c:pt>
                <c:pt idx="10">
                  <c:v>533.18386841769848</c:v>
                </c:pt>
                <c:pt idx="11">
                  <c:v>594.53072314864175</c:v>
                </c:pt>
                <c:pt idx="12">
                  <c:v>661.27044147737388</c:v>
                </c:pt>
                <c:pt idx="13">
                  <c:v>734.09839714099837</c:v>
                </c:pt>
                <c:pt idx="14">
                  <c:v>813.7535713027462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3444-49C5-8884-8E7A9C926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overlap val="-30"/>
        <c:axId val="171341312"/>
        <c:axId val="171342848"/>
      </c:barChart>
      <c:dateAx>
        <c:axId val="171341312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nextTo"/>
        <c:crossAx val="171342848"/>
        <c:crosses val="autoZero"/>
        <c:auto val="1"/>
        <c:lblOffset val="100"/>
        <c:baseTimeUnit val="years"/>
      </c:dateAx>
      <c:valAx>
        <c:axId val="171342848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71341312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66</xdr:row>
      <xdr:rowOff>28575</xdr:rowOff>
    </xdr:from>
    <xdr:to>
      <xdr:col>1</xdr:col>
      <xdr:colOff>3476625</xdr:colOff>
      <xdr:row>74</xdr:row>
      <xdr:rowOff>161925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4800" y="4629150"/>
          <a:ext cx="3448050" cy="1733550"/>
        </a:xfrm>
        <a:prstGeom prst="rect">
          <a:avLst/>
        </a:prstGeom>
        <a:noFill/>
        <a:ln w="1">
          <a:noFill/>
          <a:prstDash val="solid"/>
          <a:miter lim="800000"/>
          <a:headEnd/>
          <a:tailEnd w="med" len="med"/>
        </a:ln>
      </xdr:spPr>
    </xdr:pic>
    <xdr:clientData/>
  </xdr:twoCellAnchor>
  <xdr:twoCellAnchor editAs="oneCell">
    <xdr:from>
      <xdr:col>1</xdr:col>
      <xdr:colOff>9525</xdr:colOff>
      <xdr:row>9</xdr:row>
      <xdr:rowOff>52766</xdr:rowOff>
    </xdr:from>
    <xdr:to>
      <xdr:col>2</xdr:col>
      <xdr:colOff>19050</xdr:colOff>
      <xdr:row>23</xdr:row>
      <xdr:rowOff>72463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5750" y="2253041"/>
          <a:ext cx="7677150" cy="2820047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28574</xdr:colOff>
      <xdr:row>25</xdr:row>
      <xdr:rowOff>74441</xdr:rowOff>
    </xdr:from>
    <xdr:to>
      <xdr:col>1</xdr:col>
      <xdr:colOff>7648575</xdr:colOff>
      <xdr:row>38</xdr:row>
      <xdr:rowOff>16510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799" y="5475116"/>
          <a:ext cx="7620001" cy="2542394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39</xdr:row>
      <xdr:rowOff>47625</xdr:rowOff>
    </xdr:from>
    <xdr:to>
      <xdr:col>1</xdr:col>
      <xdr:colOff>3400893</xdr:colOff>
      <xdr:row>50</xdr:row>
      <xdr:rowOff>133669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23850" y="8248650"/>
          <a:ext cx="3353268" cy="2286319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47625</xdr:colOff>
      <xdr:row>52</xdr:row>
      <xdr:rowOff>19050</xdr:rowOff>
    </xdr:from>
    <xdr:to>
      <xdr:col>1</xdr:col>
      <xdr:colOff>2657839</xdr:colOff>
      <xdr:row>53</xdr:row>
      <xdr:rowOff>171499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23850" y="10820400"/>
          <a:ext cx="2610214" cy="3524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47</xdr:row>
      <xdr:rowOff>0</xdr:rowOff>
    </xdr:from>
    <xdr:to>
      <xdr:col>8</xdr:col>
      <xdr:colOff>0</xdr:colOff>
      <xdr:row>60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F_GLRPvJk0Y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youtu.be/KKtkUIOwl9c" TargetMode="External"/><Relationship Id="rId1" Type="http://schemas.openxmlformats.org/officeDocument/2006/relationships/hyperlink" Target="https://youtu.be/XLTdGcnNzE0" TargetMode="External"/><Relationship Id="rId6" Type="http://schemas.openxmlformats.org/officeDocument/2006/relationships/hyperlink" Target="https://youtu.be/nkmkKTNkTAM" TargetMode="External"/><Relationship Id="rId5" Type="http://schemas.openxmlformats.org/officeDocument/2006/relationships/hyperlink" Target="https://youtu.be/MsyDpwWkU9E" TargetMode="External"/><Relationship Id="rId4" Type="http://schemas.openxmlformats.org/officeDocument/2006/relationships/hyperlink" Target="https://youtu.be/qkL4yJxZBDI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kisrating.com/ratingsStatistics/statics_spread.do" TargetMode="External"/><Relationship Id="rId1" Type="http://schemas.openxmlformats.org/officeDocument/2006/relationships/hyperlink" Target="https://www.page-2.kr/concert/2020-Academy?NaPm=ct%3Dka6c7lcw%7Cci%3D0yy0000GQ_LsG2z3XvnB%7Ctr%3Dsa%7Chk%3D190c936075b3e6ea2fe0c5e383aa5a8dbef25e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tabSelected="1" workbookViewId="0">
      <selection activeCell="A2" sqref="A2"/>
    </sheetView>
  </sheetViews>
  <sheetFormatPr defaultColWidth="9" defaultRowHeight="17.399999999999999" x14ac:dyDescent="0.4"/>
  <cols>
    <col min="1" max="1" width="3.59765625" style="1" customWidth="1"/>
    <col min="2" max="2" width="100.59765625" style="1" customWidth="1"/>
    <col min="3" max="3" width="9" style="1" customWidth="1"/>
    <col min="4" max="16384" width="9" style="1"/>
  </cols>
  <sheetData>
    <row r="1" spans="1:2" x14ac:dyDescent="0.4">
      <c r="A1" s="4" t="s">
        <v>0</v>
      </c>
      <c r="B1" s="4"/>
    </row>
    <row r="2" spans="1:2" x14ac:dyDescent="0.4">
      <c r="B2" s="190" t="s">
        <v>1</v>
      </c>
    </row>
    <row r="3" spans="1:2" ht="31.5" customHeight="1" x14ac:dyDescent="0.4">
      <c r="B3" s="190" t="s">
        <v>2</v>
      </c>
    </row>
    <row r="4" spans="1:2" x14ac:dyDescent="0.4">
      <c r="B4" s="190" t="s">
        <v>3</v>
      </c>
    </row>
    <row r="6" spans="1:2" x14ac:dyDescent="0.4">
      <c r="A6" s="4" t="s">
        <v>4</v>
      </c>
      <c r="B6" s="4"/>
    </row>
    <row r="7" spans="1:2" x14ac:dyDescent="0.4">
      <c r="B7" s="190" t="s">
        <v>5</v>
      </c>
    </row>
    <row r="8" spans="1:2" x14ac:dyDescent="0.4">
      <c r="B8" s="190" t="s">
        <v>6</v>
      </c>
    </row>
    <row r="9" spans="1:2" x14ac:dyDescent="0.4">
      <c r="B9" s="190" t="s">
        <v>7</v>
      </c>
    </row>
    <row r="10" spans="1:2" x14ac:dyDescent="0.4">
      <c r="B10" s="190"/>
    </row>
    <row r="11" spans="1:2" x14ac:dyDescent="0.4">
      <c r="B11" s="190"/>
    </row>
    <row r="12" spans="1:2" x14ac:dyDescent="0.4">
      <c r="B12" s="190"/>
    </row>
    <row r="13" spans="1:2" x14ac:dyDescent="0.4">
      <c r="B13" s="190"/>
    </row>
    <row r="14" spans="1:2" x14ac:dyDescent="0.4">
      <c r="B14" s="190"/>
    </row>
    <row r="15" spans="1:2" x14ac:dyDescent="0.4">
      <c r="B15" s="190"/>
    </row>
    <row r="16" spans="1:2" x14ac:dyDescent="0.4">
      <c r="B16" s="190"/>
    </row>
    <row r="17" spans="2:2" x14ac:dyDescent="0.4">
      <c r="B17" s="190"/>
    </row>
    <row r="18" spans="2:2" x14ac:dyDescent="0.4">
      <c r="B18" s="190"/>
    </row>
    <row r="19" spans="2:2" x14ac:dyDescent="0.4">
      <c r="B19" s="190"/>
    </row>
    <row r="20" spans="2:2" x14ac:dyDescent="0.4">
      <c r="B20" s="190"/>
    </row>
    <row r="21" spans="2:2" x14ac:dyDescent="0.4">
      <c r="B21" s="190"/>
    </row>
    <row r="22" spans="2:2" x14ac:dyDescent="0.4">
      <c r="B22" s="190"/>
    </row>
    <row r="23" spans="2:2" x14ac:dyDescent="0.4">
      <c r="B23" s="190"/>
    </row>
    <row r="24" spans="2:2" x14ac:dyDescent="0.4">
      <c r="B24" s="190"/>
    </row>
    <row r="25" spans="2:2" x14ac:dyDescent="0.4">
      <c r="B25" s="190" t="s">
        <v>8</v>
      </c>
    </row>
    <row r="26" spans="2:2" x14ac:dyDescent="0.4">
      <c r="B26" s="190"/>
    </row>
    <row r="27" spans="2:2" x14ac:dyDescent="0.4">
      <c r="B27" s="190"/>
    </row>
    <row r="28" spans="2:2" x14ac:dyDescent="0.4">
      <c r="B28" s="190"/>
    </row>
    <row r="29" spans="2:2" x14ac:dyDescent="0.4">
      <c r="B29" s="190"/>
    </row>
    <row r="30" spans="2:2" x14ac:dyDescent="0.4">
      <c r="B30" s="190"/>
    </row>
    <row r="31" spans="2:2" x14ac:dyDescent="0.4">
      <c r="B31" s="190"/>
    </row>
    <row r="32" spans="2:2" x14ac:dyDescent="0.4">
      <c r="B32" s="190"/>
    </row>
    <row r="33" spans="2:2" x14ac:dyDescent="0.4">
      <c r="B33" s="190"/>
    </row>
    <row r="34" spans="2:2" x14ac:dyDescent="0.4">
      <c r="B34" s="190"/>
    </row>
    <row r="35" spans="2:2" x14ac:dyDescent="0.4">
      <c r="B35" s="190"/>
    </row>
    <row r="36" spans="2:2" x14ac:dyDescent="0.4">
      <c r="B36" s="190"/>
    </row>
    <row r="37" spans="2:2" x14ac:dyDescent="0.4">
      <c r="B37" s="190"/>
    </row>
    <row r="38" spans="2:2" x14ac:dyDescent="0.4">
      <c r="B38" s="190"/>
    </row>
    <row r="39" spans="2:2" x14ac:dyDescent="0.4">
      <c r="B39" s="190" t="s">
        <v>9</v>
      </c>
    </row>
    <row r="40" spans="2:2" x14ac:dyDescent="0.4">
      <c r="B40" s="190"/>
    </row>
    <row r="41" spans="2:2" x14ac:dyDescent="0.4">
      <c r="B41" s="190"/>
    </row>
    <row r="42" spans="2:2" x14ac:dyDescent="0.4">
      <c r="B42" s="190"/>
    </row>
    <row r="43" spans="2:2" x14ac:dyDescent="0.4">
      <c r="B43" s="190"/>
    </row>
    <row r="44" spans="2:2" x14ac:dyDescent="0.4">
      <c r="B44" s="190"/>
    </row>
    <row r="45" spans="2:2" x14ac:dyDescent="0.4">
      <c r="B45" s="190"/>
    </row>
    <row r="46" spans="2:2" x14ac:dyDescent="0.4">
      <c r="B46" s="190"/>
    </row>
    <row r="47" spans="2:2" x14ac:dyDescent="0.4">
      <c r="B47" s="190"/>
    </row>
    <row r="48" spans="2:2" x14ac:dyDescent="0.4">
      <c r="B48" s="190"/>
    </row>
    <row r="49" spans="1:2" x14ac:dyDescent="0.4">
      <c r="B49" s="190"/>
    </row>
    <row r="50" spans="1:2" x14ac:dyDescent="0.4">
      <c r="B50" s="190"/>
    </row>
    <row r="51" spans="1:2" x14ac:dyDescent="0.4">
      <c r="B51" s="190"/>
    </row>
    <row r="52" spans="1:2" x14ac:dyDescent="0.4">
      <c r="B52" s="190" t="s">
        <v>10</v>
      </c>
    </row>
    <row r="53" spans="1:2" x14ac:dyDescent="0.4">
      <c r="B53" s="190"/>
    </row>
    <row r="54" spans="1:2" x14ac:dyDescent="0.4">
      <c r="B54" s="190"/>
    </row>
    <row r="56" spans="1:2" x14ac:dyDescent="0.4">
      <c r="A56" s="4" t="s">
        <v>11</v>
      </c>
      <c r="B56" s="4"/>
    </row>
    <row r="57" spans="1:2" ht="31.5" customHeight="1" x14ac:dyDescent="0.4">
      <c r="B57" s="190" t="s">
        <v>12</v>
      </c>
    </row>
    <row r="58" spans="1:2" ht="31.5" customHeight="1" x14ac:dyDescent="0.4">
      <c r="B58" s="190" t="s">
        <v>13</v>
      </c>
    </row>
    <row r="59" spans="1:2" ht="31.5" customHeight="1" x14ac:dyDescent="0.4">
      <c r="B59" s="190" t="s">
        <v>14</v>
      </c>
    </row>
    <row r="60" spans="1:2" ht="47.25" customHeight="1" x14ac:dyDescent="0.4">
      <c r="B60" s="190" t="s">
        <v>15</v>
      </c>
    </row>
    <row r="62" spans="1:2" x14ac:dyDescent="0.4">
      <c r="A62" s="4" t="s">
        <v>16</v>
      </c>
      <c r="B62" s="4"/>
    </row>
    <row r="63" spans="1:2" ht="31.5" customHeight="1" x14ac:dyDescent="0.4">
      <c r="B63" s="190" t="s">
        <v>17</v>
      </c>
    </row>
    <row r="64" spans="1:2" x14ac:dyDescent="0.4">
      <c r="B64" s="190" t="s">
        <v>18</v>
      </c>
    </row>
    <row r="65" spans="1:2" x14ac:dyDescent="0.4">
      <c r="B65" s="190" t="s">
        <v>19</v>
      </c>
    </row>
    <row r="66" spans="1:2" x14ac:dyDescent="0.4">
      <c r="B66" s="1" t="s">
        <v>20</v>
      </c>
    </row>
    <row r="76" spans="1:2" x14ac:dyDescent="0.4">
      <c r="A76" s="4" t="s">
        <v>21</v>
      </c>
      <c r="B76" s="4"/>
    </row>
    <row r="77" spans="1:2" x14ac:dyDescent="0.4">
      <c r="B77" s="1" t="s">
        <v>22</v>
      </c>
    </row>
    <row r="78" spans="1:2" x14ac:dyDescent="0.4">
      <c r="B78" s="1" t="s">
        <v>23</v>
      </c>
    </row>
    <row r="79" spans="1:2" x14ac:dyDescent="0.4">
      <c r="B79" s="1" t="s">
        <v>24</v>
      </c>
    </row>
    <row r="80" spans="1:2" x14ac:dyDescent="0.4">
      <c r="B80" s="1" t="s">
        <v>25</v>
      </c>
    </row>
    <row r="81" spans="1:2" x14ac:dyDescent="0.4">
      <c r="B81" s="1" t="s">
        <v>26</v>
      </c>
    </row>
    <row r="83" spans="1:2" x14ac:dyDescent="0.4">
      <c r="B83" s="1" t="s">
        <v>27</v>
      </c>
    </row>
    <row r="84" spans="1:2" x14ac:dyDescent="0.4">
      <c r="B84" s="1" t="s">
        <v>28</v>
      </c>
    </row>
    <row r="86" spans="1:2" x14ac:dyDescent="0.4">
      <c r="B86" s="1" t="s">
        <v>29</v>
      </c>
    </row>
    <row r="87" spans="1:2" x14ac:dyDescent="0.4">
      <c r="B87" s="1" t="s">
        <v>30</v>
      </c>
    </row>
    <row r="89" spans="1:2" x14ac:dyDescent="0.4">
      <c r="B89" s="1" t="s">
        <v>31</v>
      </c>
    </row>
    <row r="90" spans="1:2" ht="31.5" customHeight="1" x14ac:dyDescent="0.4">
      <c r="B90" s="190" t="s">
        <v>32</v>
      </c>
    </row>
    <row r="92" spans="1:2" x14ac:dyDescent="0.4">
      <c r="A92" s="4" t="s">
        <v>33</v>
      </c>
      <c r="B92" s="4"/>
    </row>
    <row r="93" spans="1:2" ht="16.5" customHeight="1" x14ac:dyDescent="0.4">
      <c r="B93" s="192" t="s">
        <v>34</v>
      </c>
    </row>
    <row r="94" spans="1:2" ht="16.5" customHeight="1" x14ac:dyDescent="0.4">
      <c r="B94" s="192" t="s">
        <v>35</v>
      </c>
    </row>
    <row r="95" spans="1:2" ht="16.5" customHeight="1" x14ac:dyDescent="0.4">
      <c r="B95" s="192" t="s">
        <v>36</v>
      </c>
    </row>
    <row r="96" spans="1:2" ht="16.5" customHeight="1" x14ac:dyDescent="0.4">
      <c r="B96" s="192" t="s">
        <v>37</v>
      </c>
    </row>
    <row r="97" spans="2:2" ht="16.5" customHeight="1" x14ac:dyDescent="0.4">
      <c r="B97" s="192" t="s">
        <v>38</v>
      </c>
    </row>
    <row r="98" spans="2:2" ht="16.5" customHeight="1" x14ac:dyDescent="0.4">
      <c r="B98" s="192" t="s">
        <v>39</v>
      </c>
    </row>
  </sheetData>
  <phoneticPr fontId="2" type="noConversion"/>
  <hyperlinks>
    <hyperlink ref="B93" r:id="rId1" xr:uid="{00000000-0004-0000-0000-000000000000}"/>
    <hyperlink ref="B94" r:id="rId2" xr:uid="{00000000-0004-0000-0000-000001000000}"/>
    <hyperlink ref="B95" r:id="rId3" xr:uid="{00000000-0004-0000-0000-000002000000}"/>
    <hyperlink ref="B96" r:id="rId4" xr:uid="{00000000-0004-0000-0000-000003000000}"/>
    <hyperlink ref="B97" r:id="rId5" xr:uid="{00000000-0004-0000-0000-000004000000}"/>
    <hyperlink ref="B98" r:id="rId6" xr:uid="{00000000-0004-0000-0000-000005000000}"/>
  </hyperlinks>
  <pageMargins left="0.7" right="0.7" top="0.75" bottom="0.75" header="0.3" footer="0.3"/>
  <pageSetup paperSize="9" orientation="portrait" horizontalDpi="300" verticalDpi="300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tabColor theme="9"/>
  </sheetPr>
  <dimension ref="A1:J757"/>
  <sheetViews>
    <sheetView workbookViewId="0">
      <selection sqref="A1:I757"/>
    </sheetView>
  </sheetViews>
  <sheetFormatPr defaultColWidth="9" defaultRowHeight="17.399999999999999" x14ac:dyDescent="0.4"/>
  <cols>
    <col min="1" max="1" width="18.59765625" style="201" customWidth="1"/>
    <col min="2" max="9" width="12.59765625" style="201" customWidth="1"/>
    <col min="10" max="10" width="3.59765625" style="2" customWidth="1"/>
    <col min="11" max="11" width="9" style="1" customWidth="1"/>
    <col min="12" max="16384" width="9" style="1"/>
  </cols>
  <sheetData>
    <row r="1" spans="1:1" x14ac:dyDescent="0.4">
      <c r="A1" t="s">
        <v>40</v>
      </c>
    </row>
    <row r="3" spans="1:1" x14ac:dyDescent="0.4">
      <c r="A3" t="s">
        <v>41</v>
      </c>
    </row>
    <row r="5" spans="1:1" x14ac:dyDescent="0.4">
      <c r="A5" t="s">
        <v>42</v>
      </c>
    </row>
    <row r="6" spans="1:1" x14ac:dyDescent="0.4">
      <c r="A6" t="s">
        <v>43</v>
      </c>
    </row>
    <row r="7" spans="1:1" x14ac:dyDescent="0.4">
      <c r="A7" t="s">
        <v>44</v>
      </c>
    </row>
    <row r="9" spans="1:1" x14ac:dyDescent="0.4">
      <c r="A9" t="s">
        <v>45</v>
      </c>
    </row>
    <row r="10" spans="1:1" x14ac:dyDescent="0.4">
      <c r="A10" t="s">
        <v>46</v>
      </c>
    </row>
    <row r="11" spans="1:1" x14ac:dyDescent="0.4">
      <c r="A11" t="s">
        <v>47</v>
      </c>
    </row>
    <row r="12" spans="1:1" x14ac:dyDescent="0.4">
      <c r="A12" t="s">
        <v>48</v>
      </c>
    </row>
    <row r="13" spans="1:1" x14ac:dyDescent="0.4">
      <c r="A13" t="s">
        <v>49</v>
      </c>
    </row>
    <row r="14" spans="1:1" x14ac:dyDescent="0.4">
      <c r="A14" t="s">
        <v>50</v>
      </c>
    </row>
    <row r="15" spans="1:1" x14ac:dyDescent="0.4">
      <c r="A15" t="s">
        <v>51</v>
      </c>
    </row>
    <row r="16" spans="1:1" x14ac:dyDescent="0.4">
      <c r="A16" t="s">
        <v>52</v>
      </c>
    </row>
    <row r="17" spans="1:1" x14ac:dyDescent="0.4">
      <c r="A17" t="s">
        <v>53</v>
      </c>
    </row>
    <row r="18" spans="1:1" x14ac:dyDescent="0.4">
      <c r="A18" t="s">
        <v>54</v>
      </c>
    </row>
    <row r="19" spans="1:1" x14ac:dyDescent="0.4">
      <c r="A19" t="s">
        <v>55</v>
      </c>
    </row>
    <row r="20" spans="1:1" x14ac:dyDescent="0.4">
      <c r="A20" t="s">
        <v>56</v>
      </c>
    </row>
    <row r="21" spans="1:1" x14ac:dyDescent="0.4">
      <c r="A21" t="s">
        <v>57</v>
      </c>
    </row>
    <row r="22" spans="1:1" x14ac:dyDescent="0.4">
      <c r="A22" t="s">
        <v>58</v>
      </c>
    </row>
    <row r="23" spans="1:1" x14ac:dyDescent="0.4">
      <c r="A23" t="s">
        <v>59</v>
      </c>
    </row>
    <row r="24" spans="1:1" x14ac:dyDescent="0.4">
      <c r="A24" t="s">
        <v>60</v>
      </c>
    </row>
    <row r="26" spans="1:1" x14ac:dyDescent="0.4">
      <c r="A26" t="s">
        <v>61</v>
      </c>
    </row>
    <row r="28" spans="1:1" x14ac:dyDescent="0.4">
      <c r="A28">
        <v>5930</v>
      </c>
    </row>
    <row r="30" spans="1:1" x14ac:dyDescent="0.4">
      <c r="A30" t="s">
        <v>62</v>
      </c>
    </row>
    <row r="32" spans="1:1" x14ac:dyDescent="0.4">
      <c r="A32" t="s">
        <v>63</v>
      </c>
    </row>
    <row r="33" spans="1:1" x14ac:dyDescent="0.4">
      <c r="A33" t="s">
        <v>64</v>
      </c>
    </row>
    <row r="35" spans="1:1" x14ac:dyDescent="0.4">
      <c r="A35" t="s">
        <v>65</v>
      </c>
    </row>
    <row r="37" spans="1:1" x14ac:dyDescent="0.4">
      <c r="A37" t="s">
        <v>65</v>
      </c>
    </row>
    <row r="38" spans="1:1" x14ac:dyDescent="0.4">
      <c r="A38" t="s">
        <v>66</v>
      </c>
    </row>
    <row r="40" spans="1:1" x14ac:dyDescent="0.4">
      <c r="A40" t="s">
        <v>67</v>
      </c>
    </row>
    <row r="42" spans="1:1" x14ac:dyDescent="0.4">
      <c r="A42" t="s">
        <v>67</v>
      </c>
    </row>
    <row r="43" spans="1:1" x14ac:dyDescent="0.4">
      <c r="A43" t="s">
        <v>68</v>
      </c>
    </row>
    <row r="45" spans="1:1" x14ac:dyDescent="0.4">
      <c r="A45" t="s">
        <v>69</v>
      </c>
    </row>
    <row r="47" spans="1:1" x14ac:dyDescent="0.4">
      <c r="A47" t="s">
        <v>70</v>
      </c>
    </row>
    <row r="48" spans="1:1" x14ac:dyDescent="0.4">
      <c r="A48" t="s">
        <v>71</v>
      </c>
    </row>
    <row r="49" spans="1:1" x14ac:dyDescent="0.4">
      <c r="A49" t="s">
        <v>72</v>
      </c>
    </row>
    <row r="50" spans="1:1" x14ac:dyDescent="0.4">
      <c r="A50" t="s">
        <v>73</v>
      </c>
    </row>
    <row r="51" spans="1:1" x14ac:dyDescent="0.4">
      <c r="A51" t="s">
        <v>74</v>
      </c>
    </row>
    <row r="52" spans="1:1" x14ac:dyDescent="0.4">
      <c r="A52">
        <v>5.04</v>
      </c>
    </row>
    <row r="54" spans="1:1" x14ac:dyDescent="0.4">
      <c r="A54" t="s">
        <v>75</v>
      </c>
    </row>
    <row r="55" spans="1:1" x14ac:dyDescent="0.4">
      <c r="A55" t="s">
        <v>76</v>
      </c>
    </row>
    <row r="56" spans="1:1" x14ac:dyDescent="0.4">
      <c r="A56" t="s">
        <v>75</v>
      </c>
    </row>
    <row r="57" spans="1:1" x14ac:dyDescent="0.4">
      <c r="A57">
        <v>10.55</v>
      </c>
    </row>
    <row r="59" spans="1:1" x14ac:dyDescent="0.4">
      <c r="A59" t="s">
        <v>77</v>
      </c>
    </row>
    <row r="60" spans="1:1" x14ac:dyDescent="0.4">
      <c r="A60" t="s">
        <v>78</v>
      </c>
    </row>
    <row r="61" spans="1:1" x14ac:dyDescent="0.4">
      <c r="A61" t="s">
        <v>79</v>
      </c>
    </row>
    <row r="62" spans="1:1" x14ac:dyDescent="0.4">
      <c r="A62" t="s">
        <v>80</v>
      </c>
    </row>
    <row r="63" spans="1:1" x14ac:dyDescent="0.4">
      <c r="A63" t="s">
        <v>77</v>
      </c>
    </row>
    <row r="64" spans="1:1" x14ac:dyDescent="0.4">
      <c r="A64">
        <v>29.1</v>
      </c>
    </row>
    <row r="66" spans="1:1" x14ac:dyDescent="0.4">
      <c r="A66" t="s">
        <v>81</v>
      </c>
    </row>
    <row r="67" spans="1:1" x14ac:dyDescent="0.4">
      <c r="A67" t="s">
        <v>82</v>
      </c>
    </row>
    <row r="68" spans="1:1" x14ac:dyDescent="0.4">
      <c r="A68" t="s">
        <v>83</v>
      </c>
    </row>
    <row r="69" spans="1:1" x14ac:dyDescent="0.4">
      <c r="A69" t="s">
        <v>73</v>
      </c>
    </row>
    <row r="70" spans="1:1" x14ac:dyDescent="0.4">
      <c r="A70" t="s">
        <v>84</v>
      </c>
    </row>
    <row r="71" spans="1:1" x14ac:dyDescent="0.4">
      <c r="A71">
        <v>0.22</v>
      </c>
    </row>
    <row r="73" spans="1:1" x14ac:dyDescent="0.4">
      <c r="A73" t="s">
        <v>85</v>
      </c>
    </row>
    <row r="74" spans="1:1" x14ac:dyDescent="0.4">
      <c r="A74" t="s">
        <v>86</v>
      </c>
    </row>
    <row r="75" spans="1:1" x14ac:dyDescent="0.4">
      <c r="A75" t="s">
        <v>73</v>
      </c>
    </row>
    <row r="76" spans="1:1" x14ac:dyDescent="0.4">
      <c r="A76" s="193" t="s">
        <v>85</v>
      </c>
    </row>
    <row r="77" spans="1:1" x14ac:dyDescent="0.4">
      <c r="A77" s="193">
        <v>3.1E-2</v>
      </c>
    </row>
    <row r="79" spans="1:1" x14ac:dyDescent="0.4">
      <c r="A79" t="s">
        <v>87</v>
      </c>
    </row>
    <row r="81" spans="1:1" x14ac:dyDescent="0.4">
      <c r="A81" t="s">
        <v>88</v>
      </c>
    </row>
    <row r="83" spans="1:1" x14ac:dyDescent="0.4">
      <c r="A83" t="s">
        <v>89</v>
      </c>
    </row>
    <row r="85" spans="1:1" x14ac:dyDescent="0.4">
      <c r="A85" t="s">
        <v>90</v>
      </c>
    </row>
    <row r="87" spans="1:1" x14ac:dyDescent="0.4">
      <c r="A87" t="s">
        <v>91</v>
      </c>
    </row>
    <row r="88" spans="1:1" x14ac:dyDescent="0.4">
      <c r="A88" s="194"/>
    </row>
    <row r="89" spans="1:1" x14ac:dyDescent="0.4">
      <c r="A89" s="194">
        <v>71700</v>
      </c>
    </row>
    <row r="90" spans="1:1" x14ac:dyDescent="0.4">
      <c r="A90" t="s">
        <v>92</v>
      </c>
    </row>
    <row r="92" spans="1:1" x14ac:dyDescent="0.4">
      <c r="A92" t="s">
        <v>93</v>
      </c>
    </row>
    <row r="94" spans="1:1" x14ac:dyDescent="0.4">
      <c r="A94">
        <v>52.1</v>
      </c>
    </row>
    <row r="95" spans="1:1" x14ac:dyDescent="0.4">
      <c r="A95" t="s">
        <v>94</v>
      </c>
    </row>
    <row r="96" spans="1:1" ht="17.25" customHeight="1" x14ac:dyDescent="0.4"/>
    <row r="98" spans="1:4" x14ac:dyDescent="0.4">
      <c r="A98" t="s">
        <v>95</v>
      </c>
    </row>
    <row r="99" spans="1:4" x14ac:dyDescent="0.4">
      <c r="A99" t="s">
        <v>96</v>
      </c>
    </row>
    <row r="100" spans="1:4" x14ac:dyDescent="0.4">
      <c r="A100" t="s">
        <v>97</v>
      </c>
    </row>
    <row r="101" spans="1:4" x14ac:dyDescent="0.4">
      <c r="A101" t="s">
        <v>98</v>
      </c>
    </row>
    <row r="102" spans="1:4" x14ac:dyDescent="0.4">
      <c r="A102" t="s">
        <v>99</v>
      </c>
    </row>
    <row r="104" spans="1:4" x14ac:dyDescent="0.4">
      <c r="A104" t="s">
        <v>100</v>
      </c>
    </row>
    <row r="106" spans="1:4" x14ac:dyDescent="0.4">
      <c r="A106">
        <v>-14.23</v>
      </c>
    </row>
    <row r="107" spans="1:4" x14ac:dyDescent="0.4">
      <c r="A107" t="s">
        <v>101</v>
      </c>
    </row>
    <row r="109" spans="1:4" x14ac:dyDescent="0.4">
      <c r="A109" t="s">
        <v>102</v>
      </c>
    </row>
    <row r="111" spans="1:4" x14ac:dyDescent="0.4">
      <c r="A111" t="s">
        <v>103</v>
      </c>
    </row>
    <row r="112" spans="1:4" x14ac:dyDescent="0.4">
      <c r="A112" t="s">
        <v>104</v>
      </c>
      <c r="D112" s="194"/>
    </row>
    <row r="113" spans="1:4" x14ac:dyDescent="0.4">
      <c r="A113" t="s">
        <v>102</v>
      </c>
      <c r="D113" s="194"/>
    </row>
    <row r="114" spans="1:4" x14ac:dyDescent="0.4">
      <c r="A114" t="s">
        <v>105</v>
      </c>
      <c r="B114" t="s">
        <v>106</v>
      </c>
      <c r="C114" t="s">
        <v>107</v>
      </c>
      <c r="D114" s="194">
        <v>12481430</v>
      </c>
    </row>
    <row r="115" spans="1:4" x14ac:dyDescent="0.4">
      <c r="A115" t="s">
        <v>108</v>
      </c>
      <c r="B115" s="194" t="s">
        <v>109</v>
      </c>
      <c r="C115" t="s">
        <v>110</v>
      </c>
      <c r="D115" s="194">
        <v>8974</v>
      </c>
    </row>
    <row r="116" spans="1:4" x14ac:dyDescent="0.4">
      <c r="A116" t="s">
        <v>111</v>
      </c>
      <c r="B116" s="194">
        <f>-2.18/ -5.41/ -5.66/ -14.23</f>
        <v>5.0030851823125843E-3</v>
      </c>
      <c r="C116" t="s">
        <v>112</v>
      </c>
      <c r="D116">
        <v>52.1</v>
      </c>
    </row>
    <row r="117" spans="1:4" x14ac:dyDescent="0.4">
      <c r="A117" t="s">
        <v>113</v>
      </c>
      <c r="B117" s="194">
        <v>4819325</v>
      </c>
      <c r="C117" t="s">
        <v>114</v>
      </c>
      <c r="D117">
        <v>0.35227999999999998</v>
      </c>
    </row>
    <row r="118" spans="1:4" x14ac:dyDescent="0.4">
      <c r="A118" t="s">
        <v>115</v>
      </c>
    </row>
    <row r="119" spans="1:4" x14ac:dyDescent="0.4">
      <c r="A119" t="s">
        <v>116</v>
      </c>
    </row>
    <row r="120" spans="1:4" x14ac:dyDescent="0.4">
      <c r="A120" t="s">
        <v>117</v>
      </c>
    </row>
    <row r="121" spans="1:4" x14ac:dyDescent="0.4">
      <c r="B121" s="194"/>
    </row>
    <row r="122" spans="1:4" x14ac:dyDescent="0.4">
      <c r="A122" t="s">
        <v>118</v>
      </c>
      <c r="B122" s="194"/>
    </row>
    <row r="123" spans="1:4" x14ac:dyDescent="0.4">
      <c r="A123" t="s">
        <v>119</v>
      </c>
      <c r="B123" s="194">
        <v>4280334</v>
      </c>
      <c r="C123" t="s">
        <v>120</v>
      </c>
      <c r="D123">
        <v>100</v>
      </c>
    </row>
    <row r="124" spans="1:4" x14ac:dyDescent="0.4">
      <c r="A124" t="s">
        <v>121</v>
      </c>
    </row>
    <row r="126" spans="1:4" x14ac:dyDescent="0.4">
      <c r="A126" t="s">
        <v>122</v>
      </c>
    </row>
    <row r="128" spans="1:4" x14ac:dyDescent="0.4">
      <c r="A128" t="s">
        <v>123</v>
      </c>
      <c r="B128" t="s">
        <v>124</v>
      </c>
      <c r="C128" t="s">
        <v>125</v>
      </c>
      <c r="D128" t="s">
        <v>126</v>
      </c>
    </row>
    <row r="129" spans="1:4" x14ac:dyDescent="0.4">
      <c r="C129" t="s">
        <v>127</v>
      </c>
    </row>
    <row r="130" spans="1:4" x14ac:dyDescent="0.4">
      <c r="C130" t="s">
        <v>128</v>
      </c>
    </row>
    <row r="132" spans="1:4" x14ac:dyDescent="0.4">
      <c r="C132" t="s">
        <v>129</v>
      </c>
    </row>
    <row r="134" spans="1:4" x14ac:dyDescent="0.4">
      <c r="A134" t="s">
        <v>130</v>
      </c>
    </row>
    <row r="136" spans="1:4" x14ac:dyDescent="0.4">
      <c r="A136" t="s">
        <v>131</v>
      </c>
    </row>
    <row r="137" spans="1:4" x14ac:dyDescent="0.4">
      <c r="A137" t="s">
        <v>130</v>
      </c>
    </row>
    <row r="138" spans="1:4" x14ac:dyDescent="0.4">
      <c r="A138" s="194" t="s">
        <v>132</v>
      </c>
      <c r="B138" s="194" t="s">
        <v>133</v>
      </c>
      <c r="C138" t="s">
        <v>134</v>
      </c>
      <c r="D138" t="s">
        <v>135</v>
      </c>
    </row>
    <row r="139" spans="1:4" x14ac:dyDescent="0.4">
      <c r="A139" s="194">
        <v>516339</v>
      </c>
      <c r="C139">
        <v>306.18</v>
      </c>
      <c r="D139">
        <v>43.45</v>
      </c>
    </row>
    <row r="141" spans="1:4" x14ac:dyDescent="0.4">
      <c r="A141" t="s">
        <v>136</v>
      </c>
    </row>
    <row r="143" spans="1:4" x14ac:dyDescent="0.4">
      <c r="A143" t="s">
        <v>137</v>
      </c>
    </row>
    <row r="144" spans="1:4" x14ac:dyDescent="0.4">
      <c r="A144" t="s">
        <v>138</v>
      </c>
    </row>
    <row r="145" spans="1:5" x14ac:dyDescent="0.4">
      <c r="A145" t="s">
        <v>136</v>
      </c>
    </row>
    <row r="146" spans="1:5" x14ac:dyDescent="0.4">
      <c r="A146" t="s">
        <v>139</v>
      </c>
      <c r="B146" s="196" t="s">
        <v>140</v>
      </c>
      <c r="C146" s="196" t="s">
        <v>141</v>
      </c>
      <c r="D146" t="s">
        <v>142</v>
      </c>
      <c r="E146" t="s">
        <v>143</v>
      </c>
    </row>
    <row r="147" spans="1:5" x14ac:dyDescent="0.4">
      <c r="A147" t="s">
        <v>144</v>
      </c>
      <c r="B147" s="196">
        <v>52860.68</v>
      </c>
      <c r="C147" s="196">
        <v>41389.910000000003</v>
      </c>
      <c r="D147">
        <v>0.89</v>
      </c>
      <c r="E147">
        <v>8.0399999999999991</v>
      </c>
    </row>
    <row r="148" spans="1:5" x14ac:dyDescent="0.4">
      <c r="A148" t="s">
        <v>145</v>
      </c>
      <c r="B148" s="196">
        <v>34984.660000000003</v>
      </c>
      <c r="C148" s="196">
        <v>27392.99</v>
      </c>
      <c r="D148">
        <v>0.59</v>
      </c>
      <c r="E148">
        <v>5.23</v>
      </c>
    </row>
    <row r="149" spans="1:5" x14ac:dyDescent="0.4">
      <c r="A149" t="s">
        <v>146</v>
      </c>
      <c r="B149" s="196">
        <v>11251.8</v>
      </c>
      <c r="C149" s="196">
        <v>8810.16</v>
      </c>
      <c r="D149">
        <v>0.19</v>
      </c>
      <c r="E149">
        <v>3.79</v>
      </c>
    </row>
    <row r="150" spans="1:5" x14ac:dyDescent="0.4">
      <c r="A150" t="s">
        <v>147</v>
      </c>
      <c r="B150" s="196">
        <v>11066.78</v>
      </c>
      <c r="C150" s="196">
        <v>8665.2900000000009</v>
      </c>
      <c r="D150">
        <v>0.19</v>
      </c>
      <c r="E150">
        <v>4.7</v>
      </c>
    </row>
    <row r="151" spans="1:5" x14ac:dyDescent="0.4">
      <c r="A151" t="s">
        <v>148</v>
      </c>
      <c r="B151" s="196">
        <v>9703.56</v>
      </c>
      <c r="C151" s="196">
        <v>7597.88</v>
      </c>
      <c r="D151">
        <v>0.16</v>
      </c>
      <c r="E151">
        <v>5.77</v>
      </c>
    </row>
    <row r="152" spans="1:5" x14ac:dyDescent="0.4">
      <c r="A152" t="s">
        <v>149</v>
      </c>
      <c r="B152" s="196">
        <v>8652.09</v>
      </c>
      <c r="C152" s="196">
        <v>6774.59</v>
      </c>
      <c r="D152">
        <v>0.14000000000000001</v>
      </c>
      <c r="E152">
        <v>16.45</v>
      </c>
    </row>
    <row r="153" spans="1:5" x14ac:dyDescent="0.4">
      <c r="A153" t="s">
        <v>150</v>
      </c>
      <c r="B153" s="196">
        <v>7626.69</v>
      </c>
      <c r="C153" s="196">
        <v>5971.7</v>
      </c>
      <c r="D153">
        <v>0.13</v>
      </c>
      <c r="E153">
        <v>7.4</v>
      </c>
    </row>
    <row r="154" spans="1:5" x14ac:dyDescent="0.4">
      <c r="A154" t="s">
        <v>151</v>
      </c>
      <c r="B154" s="196">
        <v>6210.71</v>
      </c>
      <c r="C154" s="196">
        <v>4862.99</v>
      </c>
      <c r="D154">
        <v>0.1</v>
      </c>
      <c r="E154">
        <v>3.02</v>
      </c>
    </row>
    <row r="155" spans="1:5" x14ac:dyDescent="0.4">
      <c r="A155" t="s">
        <v>152</v>
      </c>
      <c r="B155" s="196">
        <v>6156.61</v>
      </c>
      <c r="C155" s="196">
        <v>4820.63</v>
      </c>
      <c r="D155">
        <v>0.1</v>
      </c>
      <c r="E155">
        <v>5.59</v>
      </c>
    </row>
    <row r="156" spans="1:5" x14ac:dyDescent="0.4">
      <c r="A156" t="s">
        <v>153</v>
      </c>
      <c r="B156" s="196">
        <v>5598.24</v>
      </c>
      <c r="C156" s="196">
        <v>4383.42</v>
      </c>
      <c r="D156">
        <v>0.09</v>
      </c>
      <c r="E156">
        <v>3.84</v>
      </c>
    </row>
    <row r="158" spans="1:5" x14ac:dyDescent="0.4">
      <c r="A158" t="s">
        <v>154</v>
      </c>
    </row>
    <row r="160" spans="1:5" x14ac:dyDescent="0.4">
      <c r="A160" t="s">
        <v>155</v>
      </c>
      <c r="B160" s="194"/>
      <c r="D160" s="195"/>
    </row>
    <row r="161" spans="1:5" x14ac:dyDescent="0.4">
      <c r="B161" s="194"/>
      <c r="D161" s="195"/>
    </row>
    <row r="162" spans="1:5" x14ac:dyDescent="0.4">
      <c r="A162" t="s">
        <v>156</v>
      </c>
      <c r="B162" s="194"/>
      <c r="D162" s="195"/>
    </row>
    <row r="163" spans="1:5" x14ac:dyDescent="0.4">
      <c r="A163" t="s">
        <v>155</v>
      </c>
      <c r="B163" s="194"/>
      <c r="D163" s="195"/>
    </row>
    <row r="164" spans="1:5" x14ac:dyDescent="0.4">
      <c r="A164" t="s">
        <v>157</v>
      </c>
      <c r="B164" s="194" t="s">
        <v>158</v>
      </c>
      <c r="C164" t="s">
        <v>159</v>
      </c>
      <c r="D164" s="195" t="s">
        <v>160</v>
      </c>
    </row>
    <row r="165" spans="1:5" x14ac:dyDescent="0.4">
      <c r="A165" t="s">
        <v>161</v>
      </c>
      <c r="B165" s="194">
        <v>1261657432</v>
      </c>
      <c r="C165">
        <v>21.13</v>
      </c>
      <c r="D165" s="195">
        <v>44587</v>
      </c>
    </row>
    <row r="166" spans="1:5" x14ac:dyDescent="0.4">
      <c r="A166" t="s">
        <v>162</v>
      </c>
      <c r="B166" s="194">
        <v>518509578</v>
      </c>
      <c r="C166">
        <v>8.69</v>
      </c>
      <c r="D166" s="195">
        <v>44498</v>
      </c>
    </row>
    <row r="167" spans="1:5" x14ac:dyDescent="0.4">
      <c r="A167" t="s">
        <v>163</v>
      </c>
      <c r="B167" s="194">
        <v>300391061</v>
      </c>
      <c r="C167">
        <v>5.03</v>
      </c>
      <c r="D167" s="195">
        <v>43493</v>
      </c>
    </row>
    <row r="168" spans="1:5" x14ac:dyDescent="0.4">
      <c r="A168" t="s">
        <v>164</v>
      </c>
      <c r="B168" s="194">
        <v>408650</v>
      </c>
      <c r="C168">
        <v>0.01</v>
      </c>
      <c r="D168" s="195">
        <v>43224</v>
      </c>
    </row>
    <row r="169" spans="1:5" x14ac:dyDescent="0.4">
      <c r="A169" t="s">
        <v>165</v>
      </c>
      <c r="B169" s="194">
        <v>70300</v>
      </c>
      <c r="C169">
        <v>0</v>
      </c>
      <c r="D169" s="195">
        <v>43224</v>
      </c>
    </row>
    <row r="170" spans="1:5" x14ac:dyDescent="0.4">
      <c r="A170" t="s">
        <v>166</v>
      </c>
      <c r="B170" s="194">
        <v>66000</v>
      </c>
      <c r="C170">
        <v>0</v>
      </c>
      <c r="D170" s="195">
        <v>43224</v>
      </c>
    </row>
    <row r="172" spans="1:5" x14ac:dyDescent="0.4">
      <c r="A172" t="s">
        <v>167</v>
      </c>
    </row>
    <row r="173" spans="1:5" x14ac:dyDescent="0.4">
      <c r="A173" t="s">
        <v>168</v>
      </c>
    </row>
    <row r="175" spans="1:5" x14ac:dyDescent="0.4">
      <c r="A175" t="s">
        <v>169</v>
      </c>
    </row>
    <row r="176" spans="1:5" x14ac:dyDescent="0.4">
      <c r="C176" s="194"/>
      <c r="E176" s="195"/>
    </row>
    <row r="177" spans="1:5" x14ac:dyDescent="0.4">
      <c r="A177" t="s">
        <v>170</v>
      </c>
      <c r="C177" s="194"/>
      <c r="E177" s="195"/>
    </row>
    <row r="178" spans="1:5" x14ac:dyDescent="0.4">
      <c r="A178" t="s">
        <v>156</v>
      </c>
      <c r="C178" s="194"/>
      <c r="E178" s="195"/>
    </row>
    <row r="179" spans="1:5" x14ac:dyDescent="0.4">
      <c r="A179" t="s">
        <v>155</v>
      </c>
      <c r="C179" s="194"/>
      <c r="E179" s="195"/>
    </row>
    <row r="180" spans="1:5" x14ac:dyDescent="0.4">
      <c r="A180" t="s">
        <v>171</v>
      </c>
      <c r="B180" t="s">
        <v>172</v>
      </c>
      <c r="C180" s="194" t="s">
        <v>158</v>
      </c>
      <c r="D180" t="s">
        <v>159</v>
      </c>
      <c r="E180" s="195" t="s">
        <v>160</v>
      </c>
    </row>
    <row r="181" spans="1:5" x14ac:dyDescent="0.4">
      <c r="A181" t="s">
        <v>173</v>
      </c>
      <c r="B181">
        <v>1</v>
      </c>
      <c r="C181" s="194">
        <v>1261657432</v>
      </c>
      <c r="D181">
        <v>21.13</v>
      </c>
      <c r="E181" s="195">
        <v>44587</v>
      </c>
    </row>
    <row r="182" spans="1:5" x14ac:dyDescent="0.4">
      <c r="A182" t="s">
        <v>174</v>
      </c>
      <c r="C182" s="194"/>
      <c r="E182" s="195"/>
    </row>
    <row r="183" spans="1:5" x14ac:dyDescent="0.4">
      <c r="A183" t="s">
        <v>175</v>
      </c>
      <c r="B183">
        <v>2</v>
      </c>
      <c r="C183" s="194">
        <v>818900639</v>
      </c>
      <c r="D183">
        <v>13.72</v>
      </c>
      <c r="E183" s="195">
        <v>44498</v>
      </c>
    </row>
    <row r="184" spans="1:5" ht="16.5" customHeight="1" x14ac:dyDescent="0.4">
      <c r="A184" t="s">
        <v>176</v>
      </c>
      <c r="B184">
        <v>265</v>
      </c>
      <c r="C184" s="194">
        <v>2191292</v>
      </c>
      <c r="D184">
        <v>0.04</v>
      </c>
      <c r="E184" s="195">
        <v>44606</v>
      </c>
    </row>
    <row r="185" spans="1:5" x14ac:dyDescent="0.4">
      <c r="A185" t="s">
        <v>177</v>
      </c>
      <c r="C185">
        <v>11218</v>
      </c>
    </row>
    <row r="186" spans="1:5" x14ac:dyDescent="0.4">
      <c r="A186" t="s">
        <v>178</v>
      </c>
    </row>
    <row r="188" spans="1:5" x14ac:dyDescent="0.4">
      <c r="A188" t="s">
        <v>179</v>
      </c>
    </row>
    <row r="189" spans="1:5" ht="16.5" customHeight="1" x14ac:dyDescent="0.4"/>
    <row r="190" spans="1:5" ht="16.5" customHeight="1" x14ac:dyDescent="0.4">
      <c r="A190" t="s">
        <v>180</v>
      </c>
    </row>
    <row r="191" spans="1:5" ht="16.5" customHeight="1" x14ac:dyDescent="0.4"/>
    <row r="192" spans="1:5" x14ac:dyDescent="0.4">
      <c r="A192" t="s">
        <v>181</v>
      </c>
    </row>
    <row r="193" spans="1:3" x14ac:dyDescent="0.4">
      <c r="A193" t="s">
        <v>182</v>
      </c>
      <c r="B193" t="s">
        <v>183</v>
      </c>
      <c r="C193" t="s">
        <v>184</v>
      </c>
    </row>
    <row r="194" spans="1:3" x14ac:dyDescent="0.4">
      <c r="A194" t="s">
        <v>185</v>
      </c>
    </row>
    <row r="195" spans="1:3" ht="16.5" customHeight="1" x14ac:dyDescent="0.4"/>
    <row r="196" spans="1:3" ht="16.5" customHeight="1" x14ac:dyDescent="0.4">
      <c r="A196" t="s">
        <v>186</v>
      </c>
    </row>
    <row r="197" spans="1:3" ht="16.5" customHeight="1" x14ac:dyDescent="0.4"/>
    <row r="198" spans="1:3" x14ac:dyDescent="0.4">
      <c r="A198" t="s">
        <v>155</v>
      </c>
    </row>
    <row r="199" spans="1:3" ht="16.5" customHeight="1" x14ac:dyDescent="0.4">
      <c r="A199" t="s">
        <v>182</v>
      </c>
      <c r="B199" t="s">
        <v>183</v>
      </c>
      <c r="C199" t="s">
        <v>184</v>
      </c>
    </row>
    <row r="200" spans="1:3" x14ac:dyDescent="0.4">
      <c r="A200" t="s">
        <v>187</v>
      </c>
      <c r="B200" t="s">
        <v>188</v>
      </c>
      <c r="C200" t="s">
        <v>189</v>
      </c>
    </row>
    <row r="201" spans="1:3" ht="16.5" customHeight="1" x14ac:dyDescent="0.4"/>
    <row r="202" spans="1:3" x14ac:dyDescent="0.4">
      <c r="A202" t="s">
        <v>190</v>
      </c>
    </row>
    <row r="204" spans="1:3" ht="16.5" customHeight="1" x14ac:dyDescent="0.4">
      <c r="A204" t="s">
        <v>103</v>
      </c>
    </row>
    <row r="205" spans="1:3" x14ac:dyDescent="0.4">
      <c r="A205" t="s">
        <v>191</v>
      </c>
    </row>
    <row r="207" spans="1:3" x14ac:dyDescent="0.4">
      <c r="A207" t="s">
        <v>192</v>
      </c>
    </row>
    <row r="209" spans="1:5" x14ac:dyDescent="0.4">
      <c r="A209">
        <v>4</v>
      </c>
    </row>
    <row r="210" spans="1:5" ht="16.5" customHeight="1" x14ac:dyDescent="0.4"/>
    <row r="211" spans="1:5" x14ac:dyDescent="0.4">
      <c r="A211" t="s">
        <v>193</v>
      </c>
    </row>
    <row r="212" spans="1:5" x14ac:dyDescent="0.4">
      <c r="A212" t="s">
        <v>194</v>
      </c>
    </row>
    <row r="213" spans="1:5" x14ac:dyDescent="0.4">
      <c r="A213" t="s">
        <v>195</v>
      </c>
    </row>
    <row r="214" spans="1:5" x14ac:dyDescent="0.4">
      <c r="A214" t="s">
        <v>196</v>
      </c>
      <c r="B214" s="194"/>
      <c r="C214" s="194"/>
    </row>
    <row r="215" spans="1:5" x14ac:dyDescent="0.4">
      <c r="A215" t="s">
        <v>197</v>
      </c>
    </row>
    <row r="217" spans="1:5" x14ac:dyDescent="0.4">
      <c r="A217" t="s">
        <v>155</v>
      </c>
    </row>
    <row r="218" spans="1:5" x14ac:dyDescent="0.4">
      <c r="A218" t="s">
        <v>198</v>
      </c>
      <c r="B218" s="194" t="s">
        <v>199</v>
      </c>
      <c r="C218" s="194" t="s">
        <v>200</v>
      </c>
      <c r="D218" t="s">
        <v>74</v>
      </c>
      <c r="E218" t="s">
        <v>201</v>
      </c>
    </row>
    <row r="219" spans="1:5" x14ac:dyDescent="0.4">
      <c r="A219">
        <v>4</v>
      </c>
      <c r="B219" s="194">
        <v>99909</v>
      </c>
      <c r="C219" s="194">
        <v>6514</v>
      </c>
      <c r="D219">
        <v>11</v>
      </c>
      <c r="E219">
        <v>22</v>
      </c>
    </row>
    <row r="221" spans="1:5" x14ac:dyDescent="0.4">
      <c r="A221" t="s">
        <v>202</v>
      </c>
    </row>
    <row r="222" spans="1:5" x14ac:dyDescent="0.4">
      <c r="A222" t="s">
        <v>203</v>
      </c>
    </row>
    <row r="224" spans="1:5" x14ac:dyDescent="0.4">
      <c r="A224" t="s">
        <v>204</v>
      </c>
    </row>
    <row r="226" spans="1:1" x14ac:dyDescent="0.4">
      <c r="A226" t="s">
        <v>205</v>
      </c>
    </row>
    <row r="228" spans="1:1" x14ac:dyDescent="0.4">
      <c r="A228" t="s">
        <v>206</v>
      </c>
    </row>
    <row r="230" spans="1:1" x14ac:dyDescent="0.4">
      <c r="A230" t="s">
        <v>207</v>
      </c>
    </row>
    <row r="232" spans="1:1" x14ac:dyDescent="0.4">
      <c r="A232" t="s">
        <v>208</v>
      </c>
    </row>
    <row r="234" spans="1:1" x14ac:dyDescent="0.4">
      <c r="A234" t="s">
        <v>209</v>
      </c>
    </row>
    <row r="236" spans="1:1" x14ac:dyDescent="0.4">
      <c r="A236" t="s">
        <v>210</v>
      </c>
    </row>
    <row r="238" spans="1:1" x14ac:dyDescent="0.4">
      <c r="A238" t="s">
        <v>211</v>
      </c>
    </row>
    <row r="239" spans="1:1" x14ac:dyDescent="0.4">
      <c r="A239" t="s">
        <v>212</v>
      </c>
    </row>
    <row r="241" spans="1:1" x14ac:dyDescent="0.4">
      <c r="A241" t="s">
        <v>213</v>
      </c>
    </row>
    <row r="243" spans="1:1" x14ac:dyDescent="0.4">
      <c r="A243" t="s">
        <v>170</v>
      </c>
    </row>
    <row r="245" spans="1:1" x14ac:dyDescent="0.4">
      <c r="A245" t="s">
        <v>214</v>
      </c>
    </row>
    <row r="247" spans="1:1" x14ac:dyDescent="0.4">
      <c r="A247" t="s">
        <v>215</v>
      </c>
    </row>
    <row r="248" spans="1:1" x14ac:dyDescent="0.4">
      <c r="A248" t="s">
        <v>216</v>
      </c>
    </row>
    <row r="249" spans="1:1" x14ac:dyDescent="0.4">
      <c r="A249" t="s">
        <v>217</v>
      </c>
    </row>
    <row r="250" spans="1:1" x14ac:dyDescent="0.4">
      <c r="A250" t="s">
        <v>218</v>
      </c>
    </row>
    <row r="251" spans="1:1" x14ac:dyDescent="0.4">
      <c r="A251" t="s">
        <v>219</v>
      </c>
    </row>
    <row r="252" spans="1:1" x14ac:dyDescent="0.4">
      <c r="A252" t="s">
        <v>220</v>
      </c>
    </row>
    <row r="253" spans="1:1" x14ac:dyDescent="0.4">
      <c r="A253" t="s">
        <v>221</v>
      </c>
    </row>
    <row r="254" spans="1:1" x14ac:dyDescent="0.4">
      <c r="A254" t="s">
        <v>222</v>
      </c>
    </row>
    <row r="255" spans="1:1" x14ac:dyDescent="0.4">
      <c r="A255" t="s">
        <v>223</v>
      </c>
    </row>
    <row r="256" spans="1:1" x14ac:dyDescent="0.4">
      <c r="A256" t="s">
        <v>224</v>
      </c>
    </row>
    <row r="257" spans="1:1" x14ac:dyDescent="0.4">
      <c r="A257" t="s">
        <v>225</v>
      </c>
    </row>
    <row r="258" spans="1:1" x14ac:dyDescent="0.4">
      <c r="A258" t="s">
        <v>226</v>
      </c>
    </row>
    <row r="259" spans="1:1" x14ac:dyDescent="0.4">
      <c r="A259" t="s">
        <v>227</v>
      </c>
    </row>
    <row r="260" spans="1:1" x14ac:dyDescent="0.4">
      <c r="A260" t="s">
        <v>228</v>
      </c>
    </row>
    <row r="261" spans="1:1" x14ac:dyDescent="0.4">
      <c r="A261" t="s">
        <v>229</v>
      </c>
    </row>
    <row r="262" spans="1:1" x14ac:dyDescent="0.4">
      <c r="A262" t="s">
        <v>230</v>
      </c>
    </row>
    <row r="263" spans="1:1" x14ac:dyDescent="0.4">
      <c r="A263" t="s">
        <v>231</v>
      </c>
    </row>
    <row r="265" spans="1:1" x14ac:dyDescent="0.4">
      <c r="A265" t="s">
        <v>232</v>
      </c>
    </row>
    <row r="267" spans="1:1" x14ac:dyDescent="0.4">
      <c r="A267" t="s">
        <v>233</v>
      </c>
    </row>
    <row r="268" spans="1:1" x14ac:dyDescent="0.4">
      <c r="A268" t="s">
        <v>234</v>
      </c>
    </row>
    <row r="269" spans="1:1" x14ac:dyDescent="0.4">
      <c r="A269" t="s">
        <v>205</v>
      </c>
    </row>
    <row r="271" spans="1:1" x14ac:dyDescent="0.4">
      <c r="A271" t="s">
        <v>235</v>
      </c>
    </row>
    <row r="273" spans="1:4" x14ac:dyDescent="0.4">
      <c r="A273" t="s">
        <v>236</v>
      </c>
      <c r="B273" s="194"/>
      <c r="C273" s="194"/>
      <c r="D273" s="194"/>
    </row>
    <row r="274" spans="1:4" x14ac:dyDescent="0.4">
      <c r="A274" t="s">
        <v>237</v>
      </c>
      <c r="C274" s="194"/>
      <c r="D274" s="194"/>
    </row>
    <row r="275" spans="1:4" x14ac:dyDescent="0.4">
      <c r="A275" t="s">
        <v>238</v>
      </c>
      <c r="C275" s="194"/>
      <c r="D275" s="194"/>
    </row>
    <row r="276" spans="1:4" x14ac:dyDescent="0.4">
      <c r="A276" t="s">
        <v>235</v>
      </c>
      <c r="B276" s="194"/>
    </row>
    <row r="277" spans="1:4" x14ac:dyDescent="0.4">
      <c r="A277" t="s">
        <v>239</v>
      </c>
      <c r="B277" s="194" t="s">
        <v>61</v>
      </c>
      <c r="C277" s="194" t="s">
        <v>240</v>
      </c>
      <c r="D277" s="194" t="s">
        <v>241</v>
      </c>
    </row>
    <row r="278" spans="1:4" x14ac:dyDescent="0.4">
      <c r="A278" t="s">
        <v>242</v>
      </c>
      <c r="B278" s="194">
        <v>4280334</v>
      </c>
      <c r="C278" s="194">
        <v>8038476</v>
      </c>
      <c r="D278" s="194">
        <v>21280082</v>
      </c>
    </row>
    <row r="279" spans="1:4" x14ac:dyDescent="0.4">
      <c r="A279" t="s">
        <v>243</v>
      </c>
      <c r="B279" s="194">
        <v>2796048</v>
      </c>
      <c r="C279" s="194">
        <v>4126917</v>
      </c>
      <c r="D279" s="194">
        <v>22289019</v>
      </c>
    </row>
    <row r="280" spans="1:4" x14ac:dyDescent="0.4">
      <c r="A280" t="s">
        <v>244</v>
      </c>
      <c r="B280" s="194">
        <v>516339</v>
      </c>
      <c r="C280" s="196">
        <v>476667</v>
      </c>
      <c r="D280" s="196">
        <v>1428140</v>
      </c>
    </row>
    <row r="281" spans="1:4" x14ac:dyDescent="0.4">
      <c r="A281" t="s">
        <v>245</v>
      </c>
      <c r="B281" s="194">
        <v>5777</v>
      </c>
      <c r="C281" s="196">
        <v>16167.62</v>
      </c>
      <c r="D281" s="196">
        <v>3796.41</v>
      </c>
    </row>
    <row r="282" spans="1:4" x14ac:dyDescent="0.4">
      <c r="A282" t="s">
        <v>74</v>
      </c>
      <c r="B282">
        <v>5.04</v>
      </c>
      <c r="C282">
        <v>29.1</v>
      </c>
      <c r="D282">
        <v>22.35</v>
      </c>
    </row>
    <row r="283" spans="1:4" x14ac:dyDescent="0.4">
      <c r="A283" t="s">
        <v>246</v>
      </c>
    </row>
    <row r="285" spans="1:4" x14ac:dyDescent="0.4">
      <c r="A285" t="s">
        <v>74</v>
      </c>
    </row>
    <row r="286" spans="1:4" x14ac:dyDescent="0.4">
      <c r="A286" t="s">
        <v>247</v>
      </c>
      <c r="B286">
        <v>4.4400000000000004</v>
      </c>
      <c r="C286">
        <v>8.06</v>
      </c>
      <c r="D286">
        <v>8.57</v>
      </c>
    </row>
    <row r="287" spans="1:4" x14ac:dyDescent="0.4">
      <c r="A287" t="s">
        <v>248</v>
      </c>
    </row>
    <row r="289" spans="1:4" x14ac:dyDescent="0.4">
      <c r="A289" t="s">
        <v>247</v>
      </c>
    </row>
    <row r="290" spans="1:4" x14ac:dyDescent="0.4">
      <c r="A290" t="s">
        <v>249</v>
      </c>
      <c r="B290">
        <v>4.5</v>
      </c>
      <c r="C290">
        <v>1.91</v>
      </c>
      <c r="D290">
        <v>7.47</v>
      </c>
    </row>
    <row r="291" spans="1:4" x14ac:dyDescent="0.4">
      <c r="A291" t="s">
        <v>85</v>
      </c>
      <c r="B291">
        <v>3.1</v>
      </c>
      <c r="C291">
        <v>2.58</v>
      </c>
      <c r="D291">
        <v>2.2799999999999998</v>
      </c>
    </row>
    <row r="292" spans="1:4" x14ac:dyDescent="0.4">
      <c r="A292" t="s">
        <v>114</v>
      </c>
      <c r="B292" s="194">
        <v>1.06</v>
      </c>
      <c r="C292" s="194">
        <v>1.05</v>
      </c>
      <c r="D292" s="194">
        <v>1</v>
      </c>
    </row>
    <row r="293" spans="1:4" x14ac:dyDescent="0.4">
      <c r="A293" t="s">
        <v>250</v>
      </c>
      <c r="C293" s="194"/>
      <c r="D293" s="194"/>
    </row>
    <row r="294" spans="1:4" x14ac:dyDescent="0.4">
      <c r="A294" t="s">
        <v>251</v>
      </c>
      <c r="C294" s="194"/>
      <c r="D294" s="194"/>
    </row>
    <row r="295" spans="1:4" x14ac:dyDescent="0.4">
      <c r="A295" t="s">
        <v>235</v>
      </c>
      <c r="B295" s="194"/>
    </row>
    <row r="296" spans="1:4" x14ac:dyDescent="0.4">
      <c r="A296" t="s">
        <v>239</v>
      </c>
      <c r="B296" s="194" t="s">
        <v>252</v>
      </c>
      <c r="C296" s="194" t="s">
        <v>240</v>
      </c>
      <c r="D296" s="194" t="s">
        <v>241</v>
      </c>
    </row>
    <row r="297" spans="1:4" x14ac:dyDescent="0.4">
      <c r="A297" t="s">
        <v>242</v>
      </c>
      <c r="B297" s="194">
        <v>4280334</v>
      </c>
      <c r="C297" s="194">
        <v>8038476</v>
      </c>
      <c r="D297" s="194">
        <v>21280082</v>
      </c>
    </row>
    <row r="298" spans="1:4" x14ac:dyDescent="0.4">
      <c r="A298" t="s">
        <v>243</v>
      </c>
      <c r="B298" s="194">
        <v>1997447</v>
      </c>
      <c r="C298" s="194">
        <v>2943146</v>
      </c>
      <c r="D298" s="194">
        <v>12891105</v>
      </c>
    </row>
    <row r="299" spans="1:4" x14ac:dyDescent="0.4">
      <c r="A299" t="s">
        <v>244</v>
      </c>
      <c r="B299" s="194">
        <v>319932</v>
      </c>
      <c r="C299" s="196">
        <v>272820</v>
      </c>
      <c r="D299" s="196">
        <v>848570</v>
      </c>
    </row>
    <row r="300" spans="1:4" x14ac:dyDescent="0.4">
      <c r="A300" t="s">
        <v>245</v>
      </c>
      <c r="B300" s="194">
        <v>4559</v>
      </c>
      <c r="C300" s="196">
        <v>10155.01</v>
      </c>
      <c r="D300" s="196">
        <v>2645.58</v>
      </c>
    </row>
    <row r="301" spans="1:4" x14ac:dyDescent="0.4">
      <c r="A301" t="s">
        <v>74</v>
      </c>
      <c r="B301">
        <v>17.170000000000002</v>
      </c>
      <c r="C301">
        <v>31.63</v>
      </c>
      <c r="D301">
        <v>32.08</v>
      </c>
    </row>
    <row r="302" spans="1:4" x14ac:dyDescent="0.4">
      <c r="A302" t="s">
        <v>247</v>
      </c>
      <c r="B302">
        <v>9.64</v>
      </c>
      <c r="C302">
        <v>12.94</v>
      </c>
      <c r="D302">
        <v>12.56</v>
      </c>
    </row>
    <row r="303" spans="1:4" x14ac:dyDescent="0.4">
      <c r="A303" t="s">
        <v>249</v>
      </c>
      <c r="B303">
        <v>16.45</v>
      </c>
      <c r="C303">
        <v>7.75</v>
      </c>
      <c r="D303">
        <v>4.46</v>
      </c>
    </row>
    <row r="304" spans="1:4" x14ac:dyDescent="0.4">
      <c r="A304" t="s">
        <v>85</v>
      </c>
      <c r="B304">
        <v>1.84</v>
      </c>
      <c r="C304">
        <v>2.8</v>
      </c>
      <c r="D304">
        <v>2.02</v>
      </c>
    </row>
    <row r="305" spans="1:4" x14ac:dyDescent="0.4">
      <c r="A305" t="s">
        <v>114</v>
      </c>
      <c r="B305">
        <v>1.06</v>
      </c>
      <c r="C305">
        <v>1.05</v>
      </c>
      <c r="D305">
        <v>1</v>
      </c>
    </row>
    <row r="306" spans="1:4" x14ac:dyDescent="0.4">
      <c r="A306" t="s">
        <v>250</v>
      </c>
    </row>
    <row r="307" spans="1:4" x14ac:dyDescent="0.4">
      <c r="A307" t="s">
        <v>251</v>
      </c>
    </row>
    <row r="309" spans="1:4" x14ac:dyDescent="0.4">
      <c r="A309" t="s">
        <v>253</v>
      </c>
    </row>
    <row r="310" spans="1:4" x14ac:dyDescent="0.4">
      <c r="A310" t="s">
        <v>254</v>
      </c>
    </row>
    <row r="312" spans="1:4" x14ac:dyDescent="0.4">
      <c r="A312" t="s">
        <v>255</v>
      </c>
    </row>
    <row r="314" spans="1:4" x14ac:dyDescent="0.4">
      <c r="A314" t="s">
        <v>236</v>
      </c>
    </row>
    <row r="315" spans="1:4" x14ac:dyDescent="0.4">
      <c r="A315" t="s">
        <v>237</v>
      </c>
    </row>
    <row r="316" spans="1:4" x14ac:dyDescent="0.4">
      <c r="A316" t="s">
        <v>238</v>
      </c>
    </row>
    <row r="318" spans="1:4" x14ac:dyDescent="0.4">
      <c r="A318" t="s">
        <v>256</v>
      </c>
    </row>
    <row r="320" spans="1:4" x14ac:dyDescent="0.4">
      <c r="A320" t="s">
        <v>257</v>
      </c>
    </row>
    <row r="322" spans="1:1" x14ac:dyDescent="0.4">
      <c r="A322" t="s">
        <v>258</v>
      </c>
    </row>
    <row r="324" spans="1:1" x14ac:dyDescent="0.4">
      <c r="A324" t="s">
        <v>259</v>
      </c>
    </row>
    <row r="326" spans="1:1" x14ac:dyDescent="0.4">
      <c r="A326" t="s">
        <v>260</v>
      </c>
    </row>
    <row r="328" spans="1:1" x14ac:dyDescent="0.4">
      <c r="A328" t="s">
        <v>261</v>
      </c>
    </row>
    <row r="330" spans="1:1" x14ac:dyDescent="0.4">
      <c r="A330" t="s">
        <v>262</v>
      </c>
    </row>
    <row r="332" spans="1:1" x14ac:dyDescent="0.4">
      <c r="A332" t="s">
        <v>263</v>
      </c>
    </row>
    <row r="334" spans="1:1" x14ac:dyDescent="0.4">
      <c r="A334" t="s">
        <v>264</v>
      </c>
    </row>
    <row r="336" spans="1:1" x14ac:dyDescent="0.4">
      <c r="A336" t="s">
        <v>265</v>
      </c>
    </row>
    <row r="338" spans="1:9" x14ac:dyDescent="0.4">
      <c r="A338" t="s">
        <v>266</v>
      </c>
    </row>
    <row r="339" spans="1:9" x14ac:dyDescent="0.4">
      <c r="A339" t="s">
        <v>267</v>
      </c>
      <c r="B339" s="197"/>
      <c r="C339" s="197"/>
      <c r="D339" s="197"/>
      <c r="F339" s="197"/>
      <c r="G339" s="197"/>
      <c r="H339" s="197"/>
    </row>
    <row r="340" spans="1:9" x14ac:dyDescent="0.4">
      <c r="A340" t="s">
        <v>238</v>
      </c>
    </row>
    <row r="341" spans="1:9" x14ac:dyDescent="0.4">
      <c r="A341" t="s">
        <v>268</v>
      </c>
    </row>
    <row r="342" spans="1:9" x14ac:dyDescent="0.4">
      <c r="A342" t="s">
        <v>265</v>
      </c>
    </row>
    <row r="343" spans="1:9" x14ac:dyDescent="0.4">
      <c r="A343" t="s">
        <v>269</v>
      </c>
      <c r="B343" s="197" t="s">
        <v>270</v>
      </c>
      <c r="C343" s="197"/>
      <c r="D343" s="197"/>
      <c r="E343" s="194"/>
      <c r="F343" s="197" t="s">
        <v>271</v>
      </c>
      <c r="G343" s="197"/>
      <c r="H343" s="197"/>
    </row>
    <row r="344" spans="1:9" x14ac:dyDescent="0.4">
      <c r="B344" s="197">
        <v>43800</v>
      </c>
      <c r="C344" s="197">
        <v>44166</v>
      </c>
      <c r="D344" s="197">
        <v>44531</v>
      </c>
      <c r="E344" t="s">
        <v>272</v>
      </c>
      <c r="F344" s="197">
        <v>44348</v>
      </c>
      <c r="G344" s="197">
        <v>44440</v>
      </c>
      <c r="H344" s="197">
        <v>44531</v>
      </c>
      <c r="I344" t="s">
        <v>272</v>
      </c>
    </row>
    <row r="345" spans="1:9" x14ac:dyDescent="0.4">
      <c r="E345" t="s">
        <v>273</v>
      </c>
      <c r="I345" t="s">
        <v>273</v>
      </c>
    </row>
    <row r="347" spans="1:9" x14ac:dyDescent="0.4">
      <c r="B347" s="194"/>
      <c r="C347" s="194"/>
      <c r="D347" s="194"/>
      <c r="E347" s="194" t="s">
        <v>274</v>
      </c>
      <c r="F347" s="194"/>
      <c r="G347" s="194"/>
      <c r="H347" s="194"/>
      <c r="I347" s="194" t="s">
        <v>275</v>
      </c>
    </row>
    <row r="348" spans="1:9" x14ac:dyDescent="0.4">
      <c r="A348" t="s">
        <v>243</v>
      </c>
      <c r="B348" s="194">
        <v>2304009</v>
      </c>
      <c r="C348" s="194">
        <v>2368070</v>
      </c>
      <c r="D348" s="194">
        <v>2796048</v>
      </c>
      <c r="E348" s="194">
        <v>3129386</v>
      </c>
      <c r="F348" s="194">
        <v>636716</v>
      </c>
      <c r="G348" s="194">
        <v>739792</v>
      </c>
      <c r="H348" s="194">
        <v>765655</v>
      </c>
      <c r="I348" s="194">
        <v>742191</v>
      </c>
    </row>
    <row r="349" spans="1:9" x14ac:dyDescent="0.4">
      <c r="A349" t="s">
        <v>244</v>
      </c>
      <c r="B349" s="194">
        <v>277685</v>
      </c>
      <c r="C349" s="194">
        <v>359939</v>
      </c>
      <c r="D349" s="194">
        <v>516339</v>
      </c>
      <c r="E349" s="194">
        <v>587411</v>
      </c>
      <c r="F349" s="194">
        <v>125667</v>
      </c>
      <c r="G349" s="194">
        <v>158175</v>
      </c>
      <c r="H349" s="194">
        <v>138667</v>
      </c>
      <c r="I349" s="194">
        <v>130350</v>
      </c>
    </row>
    <row r="350" spans="1:9" x14ac:dyDescent="0.4">
      <c r="A350" t="s">
        <v>276</v>
      </c>
      <c r="B350" s="194">
        <v>277685</v>
      </c>
      <c r="C350" s="194">
        <v>359939</v>
      </c>
      <c r="D350" s="194">
        <v>516339</v>
      </c>
      <c r="E350" s="194"/>
      <c r="F350" s="194">
        <v>125667</v>
      </c>
      <c r="G350" s="194">
        <v>158175</v>
      </c>
      <c r="H350" s="194">
        <v>138667</v>
      </c>
      <c r="I350" s="194"/>
    </row>
    <row r="351" spans="1:9" x14ac:dyDescent="0.4">
      <c r="A351" t="s">
        <v>277</v>
      </c>
      <c r="B351" s="194">
        <v>217389</v>
      </c>
      <c r="C351" s="194">
        <v>264078</v>
      </c>
      <c r="D351" s="194">
        <v>399075</v>
      </c>
      <c r="E351" s="194">
        <v>448920</v>
      </c>
      <c r="F351" s="194">
        <v>96345</v>
      </c>
      <c r="G351" s="194">
        <v>122933</v>
      </c>
      <c r="H351" s="194">
        <v>108379</v>
      </c>
      <c r="I351" s="194">
        <v>94986</v>
      </c>
    </row>
    <row r="352" spans="1:9" x14ac:dyDescent="0.4">
      <c r="A352" t="s">
        <v>278</v>
      </c>
      <c r="B352" s="194">
        <v>215051</v>
      </c>
      <c r="C352" s="194">
        <v>260908</v>
      </c>
      <c r="D352" s="194">
        <v>392438</v>
      </c>
      <c r="E352" s="194">
        <v>442488</v>
      </c>
      <c r="F352" s="194">
        <v>94507</v>
      </c>
      <c r="G352" s="194">
        <v>120572</v>
      </c>
      <c r="H352" s="194">
        <v>106431</v>
      </c>
      <c r="I352" s="194">
        <v>98347</v>
      </c>
    </row>
    <row r="353" spans="1:9" x14ac:dyDescent="0.4">
      <c r="A353" t="s">
        <v>279</v>
      </c>
      <c r="B353" s="194">
        <v>2338</v>
      </c>
      <c r="C353" s="194">
        <v>3170</v>
      </c>
      <c r="D353" s="194">
        <v>6637</v>
      </c>
      <c r="E353" s="194"/>
      <c r="F353" s="194">
        <v>1838</v>
      </c>
      <c r="G353" s="194">
        <v>2361</v>
      </c>
      <c r="H353" s="194">
        <v>1948</v>
      </c>
    </row>
    <row r="354" spans="1:9" x14ac:dyDescent="0.4">
      <c r="A354" t="s">
        <v>280</v>
      </c>
      <c r="B354" s="194">
        <v>3525645</v>
      </c>
      <c r="C354" s="194">
        <v>3782357</v>
      </c>
      <c r="D354" s="194">
        <v>4266212</v>
      </c>
      <c r="E354" s="194">
        <v>4561023</v>
      </c>
      <c r="F354" s="194">
        <v>3847777</v>
      </c>
      <c r="G354" s="194">
        <v>4104207</v>
      </c>
      <c r="H354" s="194">
        <v>4266212</v>
      </c>
    </row>
    <row r="355" spans="1:9" x14ac:dyDescent="0.4">
      <c r="A355" t="s">
        <v>281</v>
      </c>
      <c r="B355" s="194">
        <v>896841</v>
      </c>
      <c r="C355" s="194">
        <v>1022877</v>
      </c>
      <c r="D355" s="194">
        <v>1217212</v>
      </c>
      <c r="E355" s="194">
        <v>1194703</v>
      </c>
      <c r="F355" s="194">
        <v>1024534</v>
      </c>
      <c r="G355" s="194">
        <v>1136546</v>
      </c>
      <c r="H355" s="194">
        <v>1217212</v>
      </c>
    </row>
    <row r="356" spans="1:9" x14ac:dyDescent="0.4">
      <c r="A356" t="s">
        <v>282</v>
      </c>
      <c r="B356" s="194">
        <v>2628804</v>
      </c>
      <c r="C356" s="194">
        <v>2759480</v>
      </c>
      <c r="D356" s="194">
        <v>3048999</v>
      </c>
      <c r="E356" s="194">
        <v>3366321</v>
      </c>
      <c r="F356" s="194">
        <v>2823243</v>
      </c>
      <c r="G356" s="194">
        <v>2967661</v>
      </c>
      <c r="H356" s="194">
        <v>3048999</v>
      </c>
    </row>
    <row r="357" spans="1:9" x14ac:dyDescent="0.4">
      <c r="A357" t="s">
        <v>283</v>
      </c>
      <c r="B357" s="194">
        <v>2549155</v>
      </c>
      <c r="C357" s="194">
        <v>2676703</v>
      </c>
      <c r="D357" s="194">
        <v>2962377</v>
      </c>
      <c r="E357" s="194">
        <v>3267099</v>
      </c>
      <c r="F357" s="194">
        <v>2741605</v>
      </c>
      <c r="G357" s="194">
        <v>2883312</v>
      </c>
      <c r="H357" s="194">
        <v>2962377</v>
      </c>
    </row>
    <row r="358" spans="1:9" x14ac:dyDescent="0.4">
      <c r="A358" t="s">
        <v>284</v>
      </c>
      <c r="B358" s="194">
        <v>79649</v>
      </c>
      <c r="C358" s="194">
        <v>82777</v>
      </c>
      <c r="D358" s="194">
        <v>86622</v>
      </c>
      <c r="E358" s="194">
        <v>99222</v>
      </c>
      <c r="F358" s="194">
        <v>81637</v>
      </c>
      <c r="G358" s="194">
        <v>84349</v>
      </c>
      <c r="H358" s="194">
        <v>86622</v>
      </c>
    </row>
    <row r="359" spans="1:9" x14ac:dyDescent="0.4">
      <c r="A359" t="s">
        <v>285</v>
      </c>
      <c r="B359" s="196">
        <v>8975</v>
      </c>
      <c r="C359" s="194">
        <v>8975</v>
      </c>
      <c r="D359" s="196">
        <v>8975</v>
      </c>
      <c r="E359" s="194">
        <v>8979</v>
      </c>
      <c r="F359" s="196">
        <v>8975</v>
      </c>
      <c r="G359" s="196">
        <v>8975</v>
      </c>
      <c r="H359" s="196">
        <v>8975</v>
      </c>
    </row>
    <row r="360" spans="1:9" x14ac:dyDescent="0.4">
      <c r="A360" t="s">
        <v>286</v>
      </c>
      <c r="B360">
        <v>34.119999999999997</v>
      </c>
      <c r="C360">
        <v>37.07</v>
      </c>
      <c r="D360">
        <v>39.92</v>
      </c>
      <c r="E360">
        <v>35.49</v>
      </c>
      <c r="F360">
        <v>36.29</v>
      </c>
      <c r="G360">
        <v>38.299999999999997</v>
      </c>
      <c r="H360">
        <v>39.92</v>
      </c>
    </row>
    <row r="361" spans="1:9" x14ac:dyDescent="0.4">
      <c r="A361" t="s">
        <v>287</v>
      </c>
    </row>
    <row r="363" spans="1:9" x14ac:dyDescent="0.4">
      <c r="A363" t="s">
        <v>288</v>
      </c>
      <c r="B363" s="196"/>
      <c r="C363" s="196"/>
      <c r="D363" s="196"/>
      <c r="F363" s="196"/>
      <c r="G363" s="196"/>
      <c r="H363" s="196"/>
    </row>
    <row r="364" spans="1:9" x14ac:dyDescent="0.4">
      <c r="A364" t="s">
        <v>289</v>
      </c>
      <c r="B364" s="196">
        <v>28302.400000000001</v>
      </c>
      <c r="C364" s="196">
        <v>29723.53</v>
      </c>
      <c r="D364" s="196">
        <v>32906.47</v>
      </c>
      <c r="F364" s="196">
        <v>30446.66</v>
      </c>
      <c r="G364" s="196">
        <v>32025.54</v>
      </c>
      <c r="H364" s="196">
        <v>32906.47</v>
      </c>
    </row>
    <row r="365" spans="1:9" x14ac:dyDescent="0.4">
      <c r="A365" t="s">
        <v>290</v>
      </c>
    </row>
    <row r="367" spans="1:9" x14ac:dyDescent="0.4">
      <c r="A367" t="s">
        <v>291</v>
      </c>
    </row>
    <row r="368" spans="1:9" x14ac:dyDescent="0.4">
      <c r="A368" t="s">
        <v>292</v>
      </c>
      <c r="B368">
        <v>12.05</v>
      </c>
      <c r="C368">
        <v>15.2</v>
      </c>
      <c r="D368">
        <v>18.47</v>
      </c>
      <c r="E368">
        <v>18.77</v>
      </c>
      <c r="F368">
        <v>19.739999999999998</v>
      </c>
      <c r="G368">
        <v>21.38</v>
      </c>
      <c r="H368">
        <v>18.11</v>
      </c>
      <c r="I368">
        <v>17.559999999999999</v>
      </c>
    </row>
    <row r="369" spans="1:9" x14ac:dyDescent="0.4">
      <c r="A369" t="s">
        <v>293</v>
      </c>
    </row>
    <row r="371" spans="1:9" x14ac:dyDescent="0.4">
      <c r="A371" t="s">
        <v>294</v>
      </c>
    </row>
    <row r="372" spans="1:9" x14ac:dyDescent="0.4">
      <c r="A372" t="s">
        <v>295</v>
      </c>
      <c r="B372">
        <v>9.33</v>
      </c>
      <c r="C372">
        <v>11.02</v>
      </c>
      <c r="D372">
        <v>14.04</v>
      </c>
      <c r="E372">
        <v>14.14</v>
      </c>
      <c r="F372">
        <v>14.84</v>
      </c>
      <c r="G372">
        <v>16.3</v>
      </c>
      <c r="H372">
        <v>13.9</v>
      </c>
      <c r="I372">
        <v>13.25</v>
      </c>
    </row>
    <row r="373" spans="1:9" x14ac:dyDescent="0.4">
      <c r="A373" t="s">
        <v>296</v>
      </c>
    </row>
    <row r="375" spans="1:9" x14ac:dyDescent="0.4">
      <c r="A375" t="s">
        <v>297</v>
      </c>
    </row>
    <row r="376" spans="1:9" x14ac:dyDescent="0.4">
      <c r="A376" t="s">
        <v>298</v>
      </c>
      <c r="B376">
        <v>6.28</v>
      </c>
      <c r="C376">
        <v>7.23</v>
      </c>
      <c r="D376">
        <v>9.92</v>
      </c>
      <c r="E376">
        <v>10.17</v>
      </c>
      <c r="F376">
        <v>9.91</v>
      </c>
      <c r="G376">
        <v>12.37</v>
      </c>
      <c r="H376">
        <v>10.36</v>
      </c>
      <c r="I376">
        <v>8.91</v>
      </c>
    </row>
    <row r="377" spans="1:9" x14ac:dyDescent="0.4">
      <c r="A377" t="s">
        <v>299</v>
      </c>
    </row>
    <row r="379" spans="1:9" x14ac:dyDescent="0.4">
      <c r="A379" t="s">
        <v>300</v>
      </c>
      <c r="C379" s="194"/>
      <c r="D379" s="194"/>
      <c r="E379" s="194"/>
    </row>
    <row r="380" spans="1:9" x14ac:dyDescent="0.4">
      <c r="A380" t="s">
        <v>301</v>
      </c>
      <c r="B380">
        <v>8.69</v>
      </c>
      <c r="C380">
        <v>9.99</v>
      </c>
      <c r="D380">
        <v>13.92</v>
      </c>
      <c r="E380">
        <v>14.21</v>
      </c>
      <c r="F380">
        <v>14</v>
      </c>
      <c r="G380">
        <v>17.149999999999999</v>
      </c>
      <c r="H380">
        <v>14.57</v>
      </c>
      <c r="I380">
        <v>13.28</v>
      </c>
    </row>
    <row r="381" spans="1:9" x14ac:dyDescent="0.4">
      <c r="A381" t="s">
        <v>302</v>
      </c>
    </row>
    <row r="383" spans="1:9" x14ac:dyDescent="0.4">
      <c r="A383" t="s">
        <v>249</v>
      </c>
      <c r="B383" s="194"/>
      <c r="C383" s="194"/>
      <c r="D383" s="194"/>
      <c r="E383" s="194"/>
      <c r="F383" s="194"/>
      <c r="G383" s="194"/>
      <c r="H383" s="194"/>
    </row>
    <row r="384" spans="1:9" x14ac:dyDescent="0.4">
      <c r="A384" t="s">
        <v>245</v>
      </c>
      <c r="B384" s="194">
        <v>3166</v>
      </c>
      <c r="C384" s="194">
        <v>3841</v>
      </c>
      <c r="D384" s="194">
        <v>5777</v>
      </c>
      <c r="E384" s="194">
        <v>6514</v>
      </c>
      <c r="F384" s="194">
        <v>1391</v>
      </c>
      <c r="G384" s="194">
        <v>1775</v>
      </c>
      <c r="H384" s="194">
        <v>1567</v>
      </c>
      <c r="I384" s="194">
        <v>1448</v>
      </c>
    </row>
    <row r="385" spans="1:8" x14ac:dyDescent="0.4">
      <c r="A385" t="s">
        <v>303</v>
      </c>
    </row>
    <row r="387" spans="1:8" x14ac:dyDescent="0.4">
      <c r="A387" t="s">
        <v>245</v>
      </c>
      <c r="B387" s="194"/>
      <c r="C387" s="194"/>
      <c r="D387" s="194"/>
      <c r="E387" s="194"/>
      <c r="F387" s="194"/>
      <c r="G387" s="194"/>
      <c r="H387" s="194"/>
    </row>
    <row r="388" spans="1:8" x14ac:dyDescent="0.4">
      <c r="A388" t="s">
        <v>304</v>
      </c>
      <c r="B388" s="194">
        <v>37528</v>
      </c>
      <c r="C388" s="194">
        <v>39406</v>
      </c>
      <c r="D388" s="194">
        <v>43611</v>
      </c>
      <c r="E388" s="194">
        <v>48097</v>
      </c>
      <c r="F388" s="194">
        <v>40361</v>
      </c>
      <c r="G388" s="194">
        <v>42447</v>
      </c>
      <c r="H388" s="194">
        <v>43611</v>
      </c>
    </row>
    <row r="389" spans="1:8" x14ac:dyDescent="0.4">
      <c r="A389" t="s">
        <v>305</v>
      </c>
    </row>
    <row r="391" spans="1:8" x14ac:dyDescent="0.4">
      <c r="A391" t="s">
        <v>304</v>
      </c>
      <c r="C391" s="194"/>
      <c r="D391" s="194"/>
      <c r="E391" s="194"/>
    </row>
    <row r="392" spans="1:8" x14ac:dyDescent="0.4">
      <c r="A392" t="s">
        <v>306</v>
      </c>
      <c r="B392" s="194">
        <v>1416</v>
      </c>
      <c r="C392" s="194">
        <v>2994</v>
      </c>
      <c r="D392" s="194">
        <v>1444</v>
      </c>
      <c r="E392" s="194">
        <v>1870</v>
      </c>
      <c r="F392">
        <v>361</v>
      </c>
      <c r="G392">
        <v>361</v>
      </c>
      <c r="H392">
        <v>361</v>
      </c>
    </row>
    <row r="393" spans="1:8" x14ac:dyDescent="0.4">
      <c r="A393" t="s">
        <v>307</v>
      </c>
    </row>
    <row r="395" spans="1:8" x14ac:dyDescent="0.4">
      <c r="A395" t="s">
        <v>306</v>
      </c>
    </row>
    <row r="396" spans="1:8" x14ac:dyDescent="0.4">
      <c r="A396" t="s">
        <v>308</v>
      </c>
      <c r="B396">
        <v>17.63</v>
      </c>
      <c r="C396">
        <v>21.09</v>
      </c>
      <c r="D396">
        <v>13.55</v>
      </c>
      <c r="E396">
        <v>11.01</v>
      </c>
    </row>
    <row r="397" spans="1:8" x14ac:dyDescent="0.4">
      <c r="A397" t="s">
        <v>309</v>
      </c>
    </row>
    <row r="399" spans="1:8" x14ac:dyDescent="0.4">
      <c r="A399" t="s">
        <v>74</v>
      </c>
      <c r="B399" s="194"/>
      <c r="C399" s="194"/>
      <c r="D399" s="194"/>
      <c r="F399" s="194"/>
      <c r="G399" s="194"/>
      <c r="H399" s="194"/>
    </row>
    <row r="400" spans="1:8" x14ac:dyDescent="0.4">
      <c r="A400" t="s">
        <v>310</v>
      </c>
      <c r="B400">
        <v>1.49</v>
      </c>
      <c r="C400">
        <v>2.06</v>
      </c>
      <c r="D400">
        <v>1.8</v>
      </c>
      <c r="E400">
        <v>1.49</v>
      </c>
      <c r="F400">
        <v>2</v>
      </c>
      <c r="G400">
        <v>1.75</v>
      </c>
      <c r="H400">
        <v>1.8</v>
      </c>
    </row>
    <row r="401" spans="1:9" x14ac:dyDescent="0.4">
      <c r="A401" t="s">
        <v>311</v>
      </c>
    </row>
    <row r="403" spans="1:9" x14ac:dyDescent="0.4">
      <c r="A403" t="s">
        <v>84</v>
      </c>
      <c r="B403" s="194"/>
      <c r="C403" s="194"/>
      <c r="D403" s="194"/>
      <c r="F403" s="194"/>
      <c r="G403" s="194"/>
      <c r="H403" s="194"/>
    </row>
    <row r="404" spans="1:9" x14ac:dyDescent="0.4">
      <c r="A404" t="s">
        <v>312</v>
      </c>
      <c r="B404" s="194">
        <v>5969783</v>
      </c>
      <c r="C404" s="194">
        <v>5969783</v>
      </c>
      <c r="D404" s="194">
        <v>5969783</v>
      </c>
      <c r="F404" s="194">
        <v>5969783</v>
      </c>
      <c r="G404" s="194">
        <v>5969783</v>
      </c>
      <c r="H404" s="194">
        <v>5969783</v>
      </c>
    </row>
    <row r="405" spans="1:9" x14ac:dyDescent="0.4">
      <c r="A405" t="s">
        <v>313</v>
      </c>
      <c r="B405">
        <v>2.54</v>
      </c>
      <c r="C405">
        <v>3.7</v>
      </c>
      <c r="D405">
        <v>1.84</v>
      </c>
      <c r="F405">
        <v>0.45</v>
      </c>
      <c r="G405">
        <v>0.49</v>
      </c>
      <c r="H405">
        <v>0.46</v>
      </c>
    </row>
    <row r="406" spans="1:9" x14ac:dyDescent="0.4">
      <c r="A406" t="s">
        <v>314</v>
      </c>
      <c r="B406" s="197"/>
      <c r="C406" s="197"/>
      <c r="D406" s="197"/>
      <c r="E406" s="197"/>
      <c r="F406" s="197"/>
    </row>
    <row r="408" spans="1:9" x14ac:dyDescent="0.4">
      <c r="A408" t="s">
        <v>85</v>
      </c>
    </row>
    <row r="409" spans="1:9" x14ac:dyDescent="0.4">
      <c r="A409" t="s">
        <v>265</v>
      </c>
    </row>
    <row r="410" spans="1:9" x14ac:dyDescent="0.4">
      <c r="A410" t="s">
        <v>269</v>
      </c>
      <c r="B410" s="197" t="s">
        <v>270</v>
      </c>
      <c r="C410" s="197"/>
      <c r="D410" s="197"/>
      <c r="E410" s="197"/>
      <c r="F410" s="197"/>
      <c r="G410" s="194"/>
      <c r="H410" s="194"/>
      <c r="I410" s="194"/>
    </row>
    <row r="411" spans="1:9" x14ac:dyDescent="0.4">
      <c r="B411" s="197">
        <v>43070</v>
      </c>
      <c r="C411" s="197">
        <v>43435</v>
      </c>
      <c r="D411" s="197">
        <v>43800</v>
      </c>
      <c r="E411" s="197">
        <v>44166</v>
      </c>
      <c r="F411" s="197">
        <v>44531</v>
      </c>
      <c r="G411" t="s">
        <v>272</v>
      </c>
      <c r="H411" t="s">
        <v>272</v>
      </c>
      <c r="I411" t="s">
        <v>272</v>
      </c>
    </row>
    <row r="412" spans="1:9" x14ac:dyDescent="0.4">
      <c r="G412" t="s">
        <v>273</v>
      </c>
      <c r="H412" t="s">
        <v>273</v>
      </c>
      <c r="I412" t="s">
        <v>273</v>
      </c>
    </row>
    <row r="414" spans="1:9" x14ac:dyDescent="0.4">
      <c r="B414" s="194"/>
      <c r="C414" s="194"/>
      <c r="D414" s="194"/>
      <c r="E414" s="194"/>
      <c r="F414" s="194"/>
      <c r="G414" s="194" t="s">
        <v>274</v>
      </c>
      <c r="H414" s="194" t="s">
        <v>315</v>
      </c>
      <c r="I414" s="194" t="s">
        <v>316</v>
      </c>
    </row>
    <row r="415" spans="1:9" x14ac:dyDescent="0.4">
      <c r="A415" t="s">
        <v>243</v>
      </c>
      <c r="B415" s="194">
        <v>2395754</v>
      </c>
      <c r="C415" s="194">
        <v>2437714</v>
      </c>
      <c r="D415" s="194">
        <v>2304009</v>
      </c>
      <c r="E415" s="194">
        <v>2368070</v>
      </c>
      <c r="F415" s="194">
        <v>2796048</v>
      </c>
      <c r="G415" s="194">
        <v>3129386</v>
      </c>
      <c r="H415" s="194">
        <v>3374975</v>
      </c>
      <c r="I415" s="194">
        <v>3513130</v>
      </c>
    </row>
    <row r="416" spans="1:9" x14ac:dyDescent="0.4">
      <c r="A416" t="s">
        <v>244</v>
      </c>
      <c r="B416" s="194">
        <v>536450</v>
      </c>
      <c r="C416" s="194">
        <v>588867</v>
      </c>
      <c r="D416" s="194">
        <v>277685</v>
      </c>
      <c r="E416" s="194">
        <v>359939</v>
      </c>
      <c r="F416" s="194">
        <v>516339</v>
      </c>
      <c r="G416" s="194">
        <v>587411</v>
      </c>
      <c r="H416" s="194">
        <v>685396</v>
      </c>
      <c r="I416" s="194">
        <v>771440</v>
      </c>
    </row>
    <row r="417" spans="1:9" x14ac:dyDescent="0.4">
      <c r="A417" t="s">
        <v>276</v>
      </c>
      <c r="B417" s="194">
        <v>536450</v>
      </c>
      <c r="C417" s="194">
        <v>588867</v>
      </c>
      <c r="D417" s="194">
        <v>277685</v>
      </c>
      <c r="E417" s="194">
        <v>359939</v>
      </c>
      <c r="F417" s="194">
        <v>516339</v>
      </c>
      <c r="G417" s="194"/>
      <c r="H417" s="194"/>
      <c r="I417" s="194"/>
    </row>
    <row r="418" spans="1:9" x14ac:dyDescent="0.4">
      <c r="A418" t="s">
        <v>277</v>
      </c>
      <c r="B418" s="194">
        <v>421867</v>
      </c>
      <c r="C418" s="194">
        <v>443449</v>
      </c>
      <c r="D418" s="194">
        <v>217389</v>
      </c>
      <c r="E418" s="194">
        <v>264078</v>
      </c>
      <c r="F418" s="194">
        <v>399075</v>
      </c>
      <c r="G418" s="194">
        <v>448920</v>
      </c>
      <c r="H418" s="194">
        <v>525549</v>
      </c>
      <c r="I418" s="194">
        <v>585140</v>
      </c>
    </row>
    <row r="419" spans="1:9" x14ac:dyDescent="0.4">
      <c r="A419" t="s">
        <v>278</v>
      </c>
      <c r="B419" s="194">
        <v>413446</v>
      </c>
      <c r="C419" s="194">
        <v>438909</v>
      </c>
      <c r="D419" s="194">
        <v>215051</v>
      </c>
      <c r="E419" s="194">
        <v>260908</v>
      </c>
      <c r="F419" s="194">
        <v>392438</v>
      </c>
      <c r="G419" s="194">
        <v>442488</v>
      </c>
      <c r="H419" s="194">
        <v>518428</v>
      </c>
      <c r="I419" s="194"/>
    </row>
    <row r="420" spans="1:9" x14ac:dyDescent="0.4">
      <c r="A420" t="s">
        <v>279</v>
      </c>
      <c r="B420" s="194">
        <v>8422</v>
      </c>
      <c r="C420" s="194">
        <v>4540</v>
      </c>
      <c r="D420" s="194">
        <v>2338</v>
      </c>
      <c r="E420" s="194">
        <v>3170</v>
      </c>
      <c r="F420" s="194">
        <v>6637</v>
      </c>
      <c r="G420" s="194"/>
      <c r="H420" s="194"/>
      <c r="I420" s="194"/>
    </row>
    <row r="421" spans="1:9" x14ac:dyDescent="0.4">
      <c r="A421" t="s">
        <v>280</v>
      </c>
      <c r="B421" s="194">
        <v>3017521</v>
      </c>
      <c r="C421" s="194">
        <v>3393572</v>
      </c>
      <c r="D421" s="194">
        <v>3525645</v>
      </c>
      <c r="E421" s="194">
        <v>3782357</v>
      </c>
      <c r="F421" s="194">
        <v>4266212</v>
      </c>
      <c r="G421" s="194">
        <v>4561023</v>
      </c>
      <c r="H421" s="194">
        <v>4996128</v>
      </c>
      <c r="I421" s="194"/>
    </row>
    <row r="422" spans="1:9" x14ac:dyDescent="0.4">
      <c r="A422" t="s">
        <v>281</v>
      </c>
      <c r="B422" s="194">
        <v>872607</v>
      </c>
      <c r="C422" s="194">
        <v>916041</v>
      </c>
      <c r="D422" s="194">
        <v>896841</v>
      </c>
      <c r="E422" s="194">
        <v>1022877</v>
      </c>
      <c r="F422" s="194">
        <v>1217212</v>
      </c>
      <c r="G422" s="194">
        <v>1194703</v>
      </c>
      <c r="H422" s="194">
        <v>1240494</v>
      </c>
      <c r="I422" s="194"/>
    </row>
    <row r="423" spans="1:9" x14ac:dyDescent="0.4">
      <c r="A423" t="s">
        <v>282</v>
      </c>
      <c r="B423" s="194">
        <v>2144914</v>
      </c>
      <c r="C423" s="194">
        <v>2477532</v>
      </c>
      <c r="D423" s="194">
        <v>2628804</v>
      </c>
      <c r="E423" s="194">
        <v>2759480</v>
      </c>
      <c r="F423" s="194">
        <v>3048999</v>
      </c>
      <c r="G423" s="194">
        <v>3366321</v>
      </c>
      <c r="H423" s="194">
        <v>3755639</v>
      </c>
      <c r="I423" s="194"/>
    </row>
    <row r="424" spans="1:9" x14ac:dyDescent="0.4">
      <c r="A424" t="s">
        <v>283</v>
      </c>
      <c r="B424" s="194">
        <v>2072134</v>
      </c>
      <c r="C424" s="194">
        <v>2400690</v>
      </c>
      <c r="D424" s="194">
        <v>2549155</v>
      </c>
      <c r="E424" s="194">
        <v>2676703</v>
      </c>
      <c r="F424" s="194">
        <v>2962377</v>
      </c>
      <c r="G424" s="194">
        <v>3267099</v>
      </c>
      <c r="H424" s="194">
        <v>3644313</v>
      </c>
      <c r="I424" s="194"/>
    </row>
    <row r="425" spans="1:9" x14ac:dyDescent="0.4">
      <c r="A425" t="s">
        <v>284</v>
      </c>
      <c r="B425" s="194">
        <v>72780</v>
      </c>
      <c r="C425" s="194">
        <v>76842</v>
      </c>
      <c r="D425" s="194">
        <v>79649</v>
      </c>
      <c r="E425" s="194">
        <v>82777</v>
      </c>
      <c r="F425" s="194">
        <v>86622</v>
      </c>
      <c r="G425" s="194">
        <v>99222</v>
      </c>
      <c r="H425" s="194">
        <v>111326</v>
      </c>
      <c r="I425" s="194"/>
    </row>
    <row r="426" spans="1:9" x14ac:dyDescent="0.4">
      <c r="A426" t="s">
        <v>285</v>
      </c>
      <c r="B426" s="194">
        <v>8975</v>
      </c>
      <c r="C426" s="196">
        <v>8975</v>
      </c>
      <c r="D426" s="196">
        <v>8975</v>
      </c>
      <c r="E426" s="194">
        <v>8975</v>
      </c>
      <c r="F426" s="196">
        <v>8975</v>
      </c>
      <c r="G426" s="194">
        <v>8979</v>
      </c>
      <c r="H426" s="194">
        <v>8979</v>
      </c>
    </row>
    <row r="427" spans="1:9" x14ac:dyDescent="0.4">
      <c r="A427" t="s">
        <v>286</v>
      </c>
      <c r="B427">
        <v>40.68</v>
      </c>
      <c r="C427">
        <v>36.97</v>
      </c>
      <c r="D427">
        <v>34.119999999999997</v>
      </c>
      <c r="E427">
        <v>37.07</v>
      </c>
      <c r="F427">
        <v>39.92</v>
      </c>
      <c r="G427">
        <v>35.49</v>
      </c>
      <c r="H427">
        <v>33.03</v>
      </c>
    </row>
    <row r="428" spans="1:9" x14ac:dyDescent="0.4">
      <c r="A428" t="s">
        <v>287</v>
      </c>
    </row>
    <row r="430" spans="1:9" x14ac:dyDescent="0.4">
      <c r="A430" t="s">
        <v>288</v>
      </c>
      <c r="B430" s="196"/>
      <c r="C430" s="196"/>
      <c r="D430" s="196"/>
      <c r="E430" s="196"/>
      <c r="F430" s="196"/>
    </row>
    <row r="431" spans="1:9" x14ac:dyDescent="0.4">
      <c r="A431" t="s">
        <v>289</v>
      </c>
      <c r="B431" s="196">
        <v>23681.42</v>
      </c>
      <c r="C431" s="196">
        <v>26648.22</v>
      </c>
      <c r="D431" s="196">
        <v>28302.400000000001</v>
      </c>
      <c r="E431" s="196">
        <v>29723.53</v>
      </c>
      <c r="F431" s="196">
        <v>32906.47</v>
      </c>
    </row>
    <row r="432" spans="1:9" x14ac:dyDescent="0.4">
      <c r="A432" t="s">
        <v>290</v>
      </c>
    </row>
    <row r="434" spans="1:9" x14ac:dyDescent="0.4">
      <c r="A434" t="s">
        <v>291</v>
      </c>
    </row>
    <row r="435" spans="1:9" x14ac:dyDescent="0.4">
      <c r="A435" t="s">
        <v>292</v>
      </c>
      <c r="B435">
        <v>22.39</v>
      </c>
      <c r="C435">
        <v>24.16</v>
      </c>
      <c r="D435">
        <v>12.05</v>
      </c>
      <c r="E435">
        <v>15.2</v>
      </c>
      <c r="F435">
        <v>18.47</v>
      </c>
      <c r="G435">
        <v>18.77</v>
      </c>
      <c r="H435">
        <v>20.309999999999999</v>
      </c>
      <c r="I435">
        <v>21.96</v>
      </c>
    </row>
    <row r="436" spans="1:9" x14ac:dyDescent="0.4">
      <c r="A436" t="s">
        <v>293</v>
      </c>
    </row>
    <row r="438" spans="1:9" x14ac:dyDescent="0.4">
      <c r="A438" t="s">
        <v>294</v>
      </c>
    </row>
    <row r="439" spans="1:9" x14ac:dyDescent="0.4">
      <c r="A439" t="s">
        <v>295</v>
      </c>
      <c r="B439">
        <v>17.260000000000002</v>
      </c>
      <c r="C439">
        <v>18</v>
      </c>
      <c r="D439">
        <v>9.33</v>
      </c>
      <c r="E439">
        <v>11.02</v>
      </c>
      <c r="F439">
        <v>14.04</v>
      </c>
      <c r="G439">
        <v>14.14</v>
      </c>
      <c r="H439">
        <v>15.36</v>
      </c>
    </row>
    <row r="440" spans="1:9" x14ac:dyDescent="0.4">
      <c r="A440" t="s">
        <v>296</v>
      </c>
    </row>
    <row r="442" spans="1:9" x14ac:dyDescent="0.4">
      <c r="A442" t="s">
        <v>297</v>
      </c>
    </row>
    <row r="443" spans="1:9" x14ac:dyDescent="0.4">
      <c r="A443" t="s">
        <v>298</v>
      </c>
      <c r="B443">
        <v>4.74</v>
      </c>
      <c r="C443">
        <v>7.46</v>
      </c>
      <c r="D443">
        <v>10.130000000000001</v>
      </c>
      <c r="E443">
        <v>5.98</v>
      </c>
      <c r="F443">
        <v>3.83</v>
      </c>
      <c r="G443">
        <v>10.17</v>
      </c>
      <c r="H443">
        <v>11</v>
      </c>
      <c r="I443">
        <v>11.71</v>
      </c>
    </row>
    <row r="444" spans="1:9" x14ac:dyDescent="0.4">
      <c r="A444" t="s">
        <v>299</v>
      </c>
    </row>
    <row r="446" spans="1:9" x14ac:dyDescent="0.4">
      <c r="A446" t="s">
        <v>300</v>
      </c>
      <c r="E446" s="194"/>
      <c r="F446" s="194"/>
      <c r="G446" s="194"/>
      <c r="H446" s="194"/>
      <c r="I446" s="194"/>
    </row>
    <row r="447" spans="1:9" x14ac:dyDescent="0.4">
      <c r="A447" t="s">
        <v>301</v>
      </c>
      <c r="B447">
        <v>21.01</v>
      </c>
      <c r="C447">
        <v>19.63</v>
      </c>
      <c r="D447">
        <v>8.69</v>
      </c>
      <c r="E447">
        <v>9.99</v>
      </c>
      <c r="F447">
        <v>13.92</v>
      </c>
      <c r="G447">
        <v>14.21</v>
      </c>
      <c r="H447">
        <v>15</v>
      </c>
    </row>
    <row r="448" spans="1:9" x14ac:dyDescent="0.4">
      <c r="A448" t="s">
        <v>302</v>
      </c>
    </row>
    <row r="450" spans="1:9" x14ac:dyDescent="0.4">
      <c r="A450" t="s">
        <v>249</v>
      </c>
      <c r="B450" s="194"/>
      <c r="C450" s="194"/>
      <c r="D450" s="194"/>
      <c r="E450" s="194"/>
      <c r="F450" s="194"/>
      <c r="G450" s="194"/>
      <c r="H450" s="194"/>
      <c r="I450" s="194"/>
    </row>
    <row r="451" spans="1:9" x14ac:dyDescent="0.4">
      <c r="A451" t="s">
        <v>245</v>
      </c>
      <c r="B451" s="194">
        <v>5421</v>
      </c>
      <c r="C451" s="194">
        <v>6024</v>
      </c>
      <c r="D451" s="194">
        <v>3166</v>
      </c>
      <c r="E451" s="194">
        <v>3841</v>
      </c>
      <c r="F451" s="194">
        <v>5777</v>
      </c>
      <c r="G451" s="194">
        <v>6514</v>
      </c>
      <c r="H451" s="194">
        <v>7632</v>
      </c>
    </row>
    <row r="452" spans="1:9" x14ac:dyDescent="0.4">
      <c r="A452" t="s">
        <v>303</v>
      </c>
    </row>
    <row r="454" spans="1:9" x14ac:dyDescent="0.4">
      <c r="A454" t="s">
        <v>245</v>
      </c>
      <c r="B454" s="194"/>
      <c r="C454" s="194"/>
      <c r="D454" s="194"/>
      <c r="E454" s="194"/>
      <c r="F454" s="194"/>
      <c r="G454" s="194"/>
      <c r="H454" s="194"/>
      <c r="I454" s="194"/>
    </row>
    <row r="455" spans="1:9" x14ac:dyDescent="0.4">
      <c r="A455" t="s">
        <v>304</v>
      </c>
      <c r="B455" s="194">
        <v>28971</v>
      </c>
      <c r="C455" s="194">
        <v>35342</v>
      </c>
      <c r="D455" s="194">
        <v>37528</v>
      </c>
      <c r="E455" s="194">
        <v>39406</v>
      </c>
      <c r="F455" s="194">
        <v>43611</v>
      </c>
      <c r="G455" s="194">
        <v>48097</v>
      </c>
      <c r="H455" s="194">
        <v>53651</v>
      </c>
    </row>
    <row r="456" spans="1:9" x14ac:dyDescent="0.4">
      <c r="A456" t="s">
        <v>305</v>
      </c>
    </row>
    <row r="458" spans="1:9" x14ac:dyDescent="0.4">
      <c r="A458" t="s">
        <v>304</v>
      </c>
      <c r="E458" s="194"/>
      <c r="F458" s="194"/>
      <c r="G458" s="194"/>
      <c r="H458" s="194"/>
      <c r="I458" s="194"/>
    </row>
    <row r="459" spans="1:9" x14ac:dyDescent="0.4">
      <c r="A459" t="s">
        <v>306</v>
      </c>
      <c r="B459">
        <v>850</v>
      </c>
      <c r="C459" s="194">
        <v>1416</v>
      </c>
      <c r="D459" s="194">
        <v>1416</v>
      </c>
      <c r="E459" s="194">
        <v>2994</v>
      </c>
      <c r="F459" s="194">
        <v>1444</v>
      </c>
      <c r="G459" s="194">
        <v>1870</v>
      </c>
      <c r="H459" s="194">
        <v>2033</v>
      </c>
    </row>
    <row r="460" spans="1:9" x14ac:dyDescent="0.4">
      <c r="A460" t="s">
        <v>307</v>
      </c>
    </row>
    <row r="462" spans="1:9" x14ac:dyDescent="0.4">
      <c r="A462" t="s">
        <v>306</v>
      </c>
    </row>
    <row r="463" spans="1:9" x14ac:dyDescent="0.4">
      <c r="A463" t="s">
        <v>308</v>
      </c>
      <c r="B463">
        <v>9.4</v>
      </c>
      <c r="C463">
        <v>6.42</v>
      </c>
      <c r="D463">
        <v>17.63</v>
      </c>
      <c r="E463">
        <v>21.09</v>
      </c>
      <c r="F463">
        <v>13.55</v>
      </c>
      <c r="G463">
        <v>11.01</v>
      </c>
      <c r="H463">
        <v>9.39</v>
      </c>
    </row>
    <row r="464" spans="1:9" x14ac:dyDescent="0.4">
      <c r="A464" t="s">
        <v>309</v>
      </c>
    </row>
    <row r="466" spans="1:9" x14ac:dyDescent="0.4">
      <c r="A466" t="s">
        <v>74</v>
      </c>
      <c r="C466" s="194"/>
      <c r="D466" s="194"/>
      <c r="E466" s="194"/>
      <c r="F466" s="194"/>
    </row>
    <row r="467" spans="1:9" x14ac:dyDescent="0.4">
      <c r="A467" t="s">
        <v>310</v>
      </c>
      <c r="B467">
        <v>1.76</v>
      </c>
      <c r="C467">
        <v>1.1000000000000001</v>
      </c>
      <c r="D467">
        <v>1.49</v>
      </c>
      <c r="E467">
        <v>2.06</v>
      </c>
      <c r="F467">
        <v>1.8</v>
      </c>
      <c r="G467">
        <v>1.49</v>
      </c>
      <c r="H467">
        <v>1.34</v>
      </c>
    </row>
    <row r="468" spans="1:9" x14ac:dyDescent="0.4">
      <c r="A468" t="s">
        <v>311</v>
      </c>
    </row>
    <row r="470" spans="1:9" x14ac:dyDescent="0.4">
      <c r="A470" t="s">
        <v>84</v>
      </c>
      <c r="B470" s="194"/>
      <c r="C470" s="194"/>
      <c r="D470" s="194"/>
      <c r="E470" s="194"/>
      <c r="F470" s="194"/>
    </row>
    <row r="471" spans="1:9" x14ac:dyDescent="0.4">
      <c r="A471" t="s">
        <v>312</v>
      </c>
      <c r="B471" s="194">
        <v>6454925</v>
      </c>
      <c r="C471" s="194">
        <v>5969783</v>
      </c>
      <c r="D471" s="194">
        <v>5969783</v>
      </c>
      <c r="E471" s="194">
        <v>5969783</v>
      </c>
      <c r="F471" s="194">
        <v>5969783</v>
      </c>
    </row>
    <row r="472" spans="1:9" x14ac:dyDescent="0.4">
      <c r="A472" t="s">
        <v>313</v>
      </c>
      <c r="B472">
        <v>1.67</v>
      </c>
      <c r="C472">
        <v>3.66</v>
      </c>
      <c r="D472">
        <v>2.54</v>
      </c>
      <c r="E472">
        <v>3.7</v>
      </c>
      <c r="F472">
        <v>1.84</v>
      </c>
    </row>
    <row r="473" spans="1:9" x14ac:dyDescent="0.4">
      <c r="A473" t="s">
        <v>314</v>
      </c>
      <c r="B473" s="197"/>
      <c r="C473" s="197"/>
      <c r="D473" s="197"/>
      <c r="E473" s="197"/>
      <c r="F473" s="197"/>
    </row>
    <row r="475" spans="1:9" x14ac:dyDescent="0.4">
      <c r="A475" t="s">
        <v>85</v>
      </c>
    </row>
    <row r="476" spans="1:9" x14ac:dyDescent="0.4">
      <c r="A476" t="s">
        <v>265</v>
      </c>
    </row>
    <row r="477" spans="1:9" x14ac:dyDescent="0.4">
      <c r="A477" t="s">
        <v>269</v>
      </c>
      <c r="B477" s="197" t="s">
        <v>271</v>
      </c>
      <c r="C477" s="197"/>
      <c r="D477" s="197"/>
      <c r="E477" s="197"/>
      <c r="F477" s="197"/>
    </row>
    <row r="478" spans="1:9" x14ac:dyDescent="0.4">
      <c r="B478" s="197">
        <v>45717</v>
      </c>
      <c r="C478" s="197">
        <v>45809</v>
      </c>
      <c r="D478" s="197">
        <v>45901</v>
      </c>
      <c r="E478" s="197">
        <v>45992</v>
      </c>
      <c r="F478" s="197">
        <v>45992</v>
      </c>
      <c r="G478" t="s">
        <v>272</v>
      </c>
      <c r="H478" t="s">
        <v>272</v>
      </c>
      <c r="I478" t="s">
        <v>272</v>
      </c>
    </row>
    <row r="479" spans="1:9" x14ac:dyDescent="0.4">
      <c r="G479" t="s">
        <v>273</v>
      </c>
      <c r="H479" t="s">
        <v>273</v>
      </c>
      <c r="I479" t="s">
        <v>273</v>
      </c>
    </row>
    <row r="481" spans="1:9" x14ac:dyDescent="0.4">
      <c r="B481" s="194"/>
      <c r="C481" s="194"/>
      <c r="D481" s="194"/>
      <c r="E481" s="194"/>
      <c r="F481" s="194"/>
      <c r="G481" s="194" t="s">
        <v>275</v>
      </c>
      <c r="H481" s="194" t="s">
        <v>317</v>
      </c>
      <c r="I481" s="194" t="s">
        <v>318</v>
      </c>
    </row>
    <row r="482" spans="1:9" x14ac:dyDescent="0.4">
      <c r="A482" t="s">
        <v>243</v>
      </c>
      <c r="B482" s="194">
        <v>726</v>
      </c>
      <c r="C482" s="194">
        <v>791</v>
      </c>
      <c r="D482" s="194">
        <v>795</v>
      </c>
      <c r="E482" s="194">
        <v>795</v>
      </c>
      <c r="F482" s="194">
        <v>795</v>
      </c>
      <c r="G482" s="194">
        <v>742191</v>
      </c>
      <c r="H482" s="194">
        <v>736359</v>
      </c>
      <c r="I482" s="194">
        <v>815194</v>
      </c>
    </row>
    <row r="483" spans="1:9" x14ac:dyDescent="0.4">
      <c r="A483" t="s">
        <v>244</v>
      </c>
      <c r="B483" s="194">
        <v>51</v>
      </c>
      <c r="C483" s="194">
        <v>41</v>
      </c>
      <c r="D483" s="194">
        <v>40</v>
      </c>
      <c r="E483" s="194">
        <v>40</v>
      </c>
      <c r="F483" s="194">
        <v>40</v>
      </c>
      <c r="G483" s="194">
        <v>130350</v>
      </c>
      <c r="H483" s="194">
        <v>133921</v>
      </c>
      <c r="I483" s="194">
        <v>160374</v>
      </c>
    </row>
    <row r="484" spans="1:9" x14ac:dyDescent="0.4">
      <c r="A484" t="s">
        <v>276</v>
      </c>
      <c r="B484" s="194">
        <v>51</v>
      </c>
      <c r="C484" s="194">
        <v>41</v>
      </c>
      <c r="D484" s="194">
        <v>40</v>
      </c>
      <c r="E484" s="194">
        <v>40</v>
      </c>
      <c r="F484" s="194">
        <v>40</v>
      </c>
      <c r="G484" s="194"/>
      <c r="H484" s="194"/>
      <c r="I484" s="194"/>
    </row>
    <row r="485" spans="1:9" x14ac:dyDescent="0.4">
      <c r="A485" t="s">
        <v>277</v>
      </c>
      <c r="B485" s="194">
        <v>63</v>
      </c>
      <c r="C485" s="194">
        <v>56</v>
      </c>
      <c r="D485" s="194">
        <v>45</v>
      </c>
      <c r="E485" s="194">
        <v>45</v>
      </c>
      <c r="F485" s="194">
        <v>45</v>
      </c>
      <c r="G485" s="194">
        <v>94986</v>
      </c>
      <c r="H485" s="194">
        <v>98185</v>
      </c>
      <c r="I485" s="194">
        <v>122210</v>
      </c>
    </row>
    <row r="486" spans="1:9" x14ac:dyDescent="0.4">
      <c r="A486" t="s">
        <v>278</v>
      </c>
      <c r="B486" s="194">
        <v>55</v>
      </c>
      <c r="C486" s="194">
        <v>50</v>
      </c>
      <c r="D486" s="194">
        <v>37</v>
      </c>
      <c r="E486" s="194">
        <v>37</v>
      </c>
      <c r="F486" s="194">
        <v>37</v>
      </c>
      <c r="G486" s="194">
        <v>98347</v>
      </c>
      <c r="H486" s="194">
        <v>96976</v>
      </c>
      <c r="I486" s="194">
        <v>114404</v>
      </c>
    </row>
    <row r="487" spans="1:9" x14ac:dyDescent="0.4">
      <c r="A487" t="s">
        <v>279</v>
      </c>
      <c r="B487" s="194">
        <v>8</v>
      </c>
      <c r="C487" s="194">
        <v>7</v>
      </c>
      <c r="D487" s="194">
        <v>8</v>
      </c>
      <c r="E487" s="194">
        <v>8</v>
      </c>
      <c r="F487" s="194">
        <v>8</v>
      </c>
    </row>
    <row r="488" spans="1:9" x14ac:dyDescent="0.4">
      <c r="A488" t="s">
        <v>280</v>
      </c>
      <c r="B488" s="194">
        <v>5137</v>
      </c>
      <c r="C488" s="194">
        <v>5329</v>
      </c>
      <c r="D488" s="194">
        <v>5420</v>
      </c>
      <c r="E488" s="194">
        <v>5420</v>
      </c>
      <c r="F488" s="194">
        <v>5420</v>
      </c>
    </row>
    <row r="489" spans="1:9" x14ac:dyDescent="0.4">
      <c r="A489" t="s">
        <v>281</v>
      </c>
      <c r="B489" s="194">
        <v>923</v>
      </c>
      <c r="C489" s="194">
        <v>1060</v>
      </c>
      <c r="D489" s="194">
        <v>1106</v>
      </c>
      <c r="E489" s="194">
        <v>1106</v>
      </c>
      <c r="F489" s="194">
        <v>1106</v>
      </c>
    </row>
    <row r="490" spans="1:9" x14ac:dyDescent="0.4">
      <c r="A490" t="s">
        <v>282</v>
      </c>
      <c r="B490" s="194">
        <v>4214</v>
      </c>
      <c r="C490" s="194">
        <v>4269</v>
      </c>
      <c r="D490" s="194">
        <v>4314</v>
      </c>
      <c r="E490" s="194">
        <v>4314</v>
      </c>
      <c r="F490" s="194">
        <v>4314</v>
      </c>
    </row>
    <row r="491" spans="1:9" x14ac:dyDescent="0.4">
      <c r="A491" t="s">
        <v>283</v>
      </c>
      <c r="B491" s="194">
        <v>3740</v>
      </c>
      <c r="C491" s="194">
        <v>3788</v>
      </c>
      <c r="D491" s="194">
        <v>3825</v>
      </c>
      <c r="E491" s="194">
        <v>3825</v>
      </c>
      <c r="F491" s="194">
        <v>3825</v>
      </c>
    </row>
    <row r="492" spans="1:9" x14ac:dyDescent="0.4">
      <c r="A492" t="s">
        <v>284</v>
      </c>
      <c r="B492" s="194">
        <v>475</v>
      </c>
      <c r="C492" s="194">
        <v>481</v>
      </c>
      <c r="D492" s="194">
        <v>489</v>
      </c>
      <c r="E492" s="194">
        <v>489</v>
      </c>
      <c r="F492" s="194">
        <v>489</v>
      </c>
    </row>
    <row r="493" spans="1:9" x14ac:dyDescent="0.4">
      <c r="A493" t="s">
        <v>285</v>
      </c>
      <c r="B493" s="194">
        <v>85</v>
      </c>
      <c r="C493" s="194">
        <v>85</v>
      </c>
      <c r="D493" s="196">
        <v>85</v>
      </c>
      <c r="E493" s="196">
        <v>85</v>
      </c>
      <c r="F493" s="196">
        <v>85</v>
      </c>
    </row>
    <row r="494" spans="1:9" x14ac:dyDescent="0.4">
      <c r="A494" t="s">
        <v>286</v>
      </c>
      <c r="B494">
        <v>37.07</v>
      </c>
      <c r="C494">
        <v>43.23</v>
      </c>
      <c r="D494">
        <v>36.29</v>
      </c>
      <c r="E494">
        <v>38.299999999999997</v>
      </c>
      <c r="F494">
        <v>39.92</v>
      </c>
    </row>
    <row r="495" spans="1:9" x14ac:dyDescent="0.4">
      <c r="A495" t="s">
        <v>287</v>
      </c>
    </row>
    <row r="497" spans="1:9" x14ac:dyDescent="0.4">
      <c r="A497" t="s">
        <v>288</v>
      </c>
      <c r="B497" s="196"/>
      <c r="C497" s="196"/>
      <c r="D497" s="196"/>
      <c r="E497" s="196"/>
      <c r="F497" s="196"/>
    </row>
    <row r="498" spans="1:9" x14ac:dyDescent="0.4">
      <c r="A498" t="s">
        <v>289</v>
      </c>
      <c r="B498" s="196">
        <v>29723.53</v>
      </c>
      <c r="C498" s="196">
        <v>29511.49</v>
      </c>
      <c r="D498" s="196">
        <v>30446.66</v>
      </c>
      <c r="E498" s="196">
        <v>32025.54</v>
      </c>
      <c r="F498" s="196">
        <v>32906.47</v>
      </c>
    </row>
    <row r="499" spans="1:9" x14ac:dyDescent="0.4">
      <c r="A499" t="s">
        <v>290</v>
      </c>
    </row>
    <row r="501" spans="1:9" x14ac:dyDescent="0.4">
      <c r="A501" t="s">
        <v>291</v>
      </c>
    </row>
    <row r="502" spans="1:9" x14ac:dyDescent="0.4">
      <c r="A502" t="s">
        <v>292</v>
      </c>
      <c r="B502">
        <v>14.7</v>
      </c>
      <c r="C502">
        <v>14.35</v>
      </c>
      <c r="D502">
        <v>19.739999999999998</v>
      </c>
      <c r="E502">
        <v>21.38</v>
      </c>
      <c r="F502">
        <v>18.11</v>
      </c>
      <c r="G502">
        <v>17.559999999999999</v>
      </c>
      <c r="H502">
        <v>18.190000000000001</v>
      </c>
      <c r="I502">
        <v>19.670000000000002</v>
      </c>
    </row>
    <row r="503" spans="1:9" x14ac:dyDescent="0.4">
      <c r="A503" t="s">
        <v>293</v>
      </c>
    </row>
    <row r="505" spans="1:9" x14ac:dyDescent="0.4">
      <c r="A505" t="s">
        <v>294</v>
      </c>
    </row>
    <row r="506" spans="1:9" x14ac:dyDescent="0.4">
      <c r="A506" t="s">
        <v>295</v>
      </c>
      <c r="B506">
        <v>10.47</v>
      </c>
      <c r="C506">
        <v>10.85</v>
      </c>
      <c r="D506">
        <v>14.84</v>
      </c>
      <c r="E506">
        <v>16.3</v>
      </c>
      <c r="F506">
        <v>13.9</v>
      </c>
      <c r="G506">
        <v>13.25</v>
      </c>
      <c r="H506">
        <v>13.17</v>
      </c>
      <c r="I506">
        <v>14.03</v>
      </c>
    </row>
    <row r="507" spans="1:9" x14ac:dyDescent="0.4">
      <c r="A507" t="s">
        <v>296</v>
      </c>
    </row>
    <row r="509" spans="1:9" x14ac:dyDescent="0.4">
      <c r="A509" t="s">
        <v>297</v>
      </c>
    </row>
    <row r="510" spans="1:9" x14ac:dyDescent="0.4">
      <c r="A510" t="s">
        <v>298</v>
      </c>
      <c r="B510">
        <v>4.8899999999999997</v>
      </c>
      <c r="C510">
        <v>4.3</v>
      </c>
      <c r="D510">
        <v>3.38</v>
      </c>
      <c r="E510">
        <v>3.38</v>
      </c>
      <c r="F510">
        <v>3.38</v>
      </c>
      <c r="G510">
        <v>8.91</v>
      </c>
    </row>
    <row r="511" spans="1:9" x14ac:dyDescent="0.4">
      <c r="A511" t="s">
        <v>299</v>
      </c>
    </row>
    <row r="513" spans="1:9" x14ac:dyDescent="0.4">
      <c r="A513" t="s">
        <v>300</v>
      </c>
    </row>
    <row r="514" spans="1:9" x14ac:dyDescent="0.4">
      <c r="A514" t="s">
        <v>301</v>
      </c>
      <c r="B514">
        <v>9.6300000000000008</v>
      </c>
      <c r="C514">
        <v>10.64</v>
      </c>
      <c r="D514">
        <v>14</v>
      </c>
      <c r="E514">
        <v>17.149999999999999</v>
      </c>
      <c r="F514">
        <v>14.57</v>
      </c>
      <c r="G514">
        <v>13.28</v>
      </c>
    </row>
    <row r="515" spans="1:9" x14ac:dyDescent="0.4">
      <c r="A515" t="s">
        <v>302</v>
      </c>
    </row>
    <row r="517" spans="1:9" x14ac:dyDescent="0.4">
      <c r="A517" t="s">
        <v>249</v>
      </c>
      <c r="D517" s="194"/>
      <c r="E517" s="194"/>
      <c r="F517" s="194"/>
      <c r="H517" s="194"/>
      <c r="I517" s="194"/>
    </row>
    <row r="518" spans="1:9" x14ac:dyDescent="0.4">
      <c r="A518" t="s">
        <v>245</v>
      </c>
      <c r="B518">
        <v>949</v>
      </c>
      <c r="C518" s="194">
        <v>1044</v>
      </c>
      <c r="D518" s="194">
        <v>1391</v>
      </c>
      <c r="E518" s="194">
        <v>1775</v>
      </c>
      <c r="F518" s="194">
        <v>1567</v>
      </c>
      <c r="G518" s="194">
        <v>1448</v>
      </c>
      <c r="H518" s="194">
        <v>1428</v>
      </c>
      <c r="I518" s="194">
        <v>1684</v>
      </c>
    </row>
    <row r="519" spans="1:9" x14ac:dyDescent="0.4">
      <c r="A519" t="s">
        <v>303</v>
      </c>
    </row>
    <row r="521" spans="1:9" x14ac:dyDescent="0.4">
      <c r="A521" t="s">
        <v>245</v>
      </c>
      <c r="B521" s="194"/>
      <c r="C521" s="194"/>
      <c r="D521" s="194"/>
      <c r="E521" s="194"/>
      <c r="F521" s="194"/>
    </row>
    <row r="522" spans="1:9" x14ac:dyDescent="0.4">
      <c r="A522" t="s">
        <v>304</v>
      </c>
      <c r="B522" s="194">
        <v>39406</v>
      </c>
      <c r="C522" s="194">
        <v>39126</v>
      </c>
      <c r="D522" s="194">
        <v>40361</v>
      </c>
      <c r="E522" s="194">
        <v>42447</v>
      </c>
      <c r="F522" s="194">
        <v>43611</v>
      </c>
    </row>
    <row r="523" spans="1:9" x14ac:dyDescent="0.4">
      <c r="A523" t="s">
        <v>305</v>
      </c>
    </row>
    <row r="525" spans="1:9" x14ac:dyDescent="0.4">
      <c r="A525" t="s">
        <v>304</v>
      </c>
    </row>
    <row r="526" spans="1:9" x14ac:dyDescent="0.4">
      <c r="A526" t="s">
        <v>306</v>
      </c>
      <c r="B526" s="194">
        <v>1932</v>
      </c>
      <c r="C526">
        <v>361</v>
      </c>
      <c r="D526">
        <v>361</v>
      </c>
      <c r="E526">
        <v>361</v>
      </c>
      <c r="F526">
        <v>361</v>
      </c>
    </row>
    <row r="527" spans="1:9" x14ac:dyDescent="0.4">
      <c r="A527" t="s">
        <v>307</v>
      </c>
    </row>
    <row r="529" spans="1:8" x14ac:dyDescent="0.4">
      <c r="A529" t="s">
        <v>306</v>
      </c>
    </row>
    <row r="530" spans="1:8" x14ac:dyDescent="0.4">
      <c r="A530" t="s">
        <v>308</v>
      </c>
    </row>
    <row r="531" spans="1:8" x14ac:dyDescent="0.4">
      <c r="A531" t="s">
        <v>309</v>
      </c>
    </row>
    <row r="533" spans="1:8" x14ac:dyDescent="0.4">
      <c r="A533" t="s">
        <v>74</v>
      </c>
      <c r="D533" s="194"/>
      <c r="E533" s="194"/>
      <c r="F533" s="194"/>
    </row>
    <row r="534" spans="1:8" x14ac:dyDescent="0.4">
      <c r="A534" t="s">
        <v>310</v>
      </c>
      <c r="B534">
        <v>2.06</v>
      </c>
      <c r="C534">
        <v>2.08</v>
      </c>
      <c r="D534">
        <v>2</v>
      </c>
      <c r="E534">
        <v>1.75</v>
      </c>
      <c r="F534">
        <v>1.8</v>
      </c>
    </row>
    <row r="535" spans="1:8" x14ac:dyDescent="0.4">
      <c r="A535" t="s">
        <v>311</v>
      </c>
    </row>
    <row r="537" spans="1:8" x14ac:dyDescent="0.4">
      <c r="A537" t="s">
        <v>84</v>
      </c>
      <c r="B537" s="194"/>
      <c r="C537" s="194"/>
      <c r="D537" s="194"/>
      <c r="E537" s="194"/>
      <c r="F537" s="194"/>
    </row>
    <row r="538" spans="1:8" x14ac:dyDescent="0.4">
      <c r="A538" t="s">
        <v>312</v>
      </c>
      <c r="B538" s="194">
        <v>5969783</v>
      </c>
      <c r="C538" s="194">
        <v>5969783</v>
      </c>
      <c r="D538" s="194">
        <v>5969783</v>
      </c>
      <c r="E538" s="194">
        <v>5969783</v>
      </c>
      <c r="F538" s="194">
        <v>5969783</v>
      </c>
    </row>
    <row r="539" spans="1:8" x14ac:dyDescent="0.4">
      <c r="A539" t="s">
        <v>313</v>
      </c>
      <c r="B539">
        <v>2.39</v>
      </c>
      <c r="C539">
        <v>0.44</v>
      </c>
      <c r="D539">
        <v>0.45</v>
      </c>
      <c r="E539">
        <v>0.49</v>
      </c>
      <c r="F539">
        <v>0.46</v>
      </c>
    </row>
    <row r="540" spans="1:8" x14ac:dyDescent="0.4">
      <c r="A540" t="s">
        <v>314</v>
      </c>
      <c r="B540" s="197"/>
      <c r="C540" s="197"/>
      <c r="D540" s="197"/>
      <c r="F540" s="197"/>
      <c r="G540" s="197"/>
      <c r="H540" s="197"/>
    </row>
    <row r="542" spans="1:8" x14ac:dyDescent="0.4">
      <c r="A542" t="s">
        <v>85</v>
      </c>
    </row>
    <row r="543" spans="1:8" x14ac:dyDescent="0.4">
      <c r="A543" t="s">
        <v>265</v>
      </c>
    </row>
    <row r="544" spans="1:8" x14ac:dyDescent="0.4">
      <c r="A544" t="s">
        <v>319</v>
      </c>
      <c r="B544" s="197" t="s">
        <v>270</v>
      </c>
      <c r="C544" s="197"/>
      <c r="D544" s="197"/>
      <c r="F544" s="197" t="s">
        <v>271</v>
      </c>
      <c r="G544" s="197"/>
      <c r="H544" s="197"/>
    </row>
    <row r="545" spans="1:9" x14ac:dyDescent="0.4">
      <c r="B545" s="197">
        <v>43800</v>
      </c>
      <c r="C545" s="197">
        <v>44166</v>
      </c>
      <c r="D545" s="197">
        <v>44531</v>
      </c>
      <c r="E545" t="s">
        <v>272</v>
      </c>
      <c r="F545" s="197">
        <v>44348</v>
      </c>
      <c r="G545" s="197">
        <v>44440</v>
      </c>
      <c r="H545" s="197">
        <v>44531</v>
      </c>
      <c r="I545" t="s">
        <v>272</v>
      </c>
    </row>
    <row r="546" spans="1:9" x14ac:dyDescent="0.4">
      <c r="E546" t="s">
        <v>273</v>
      </c>
      <c r="I546" t="s">
        <v>273</v>
      </c>
    </row>
    <row r="548" spans="1:9" x14ac:dyDescent="0.4">
      <c r="B548" s="194"/>
      <c r="C548" s="194"/>
      <c r="D548" s="194"/>
      <c r="E548" t="s">
        <v>274</v>
      </c>
      <c r="F548" s="194"/>
      <c r="G548" s="194"/>
      <c r="H548" s="194"/>
      <c r="I548" t="s">
        <v>275</v>
      </c>
    </row>
    <row r="549" spans="1:9" x14ac:dyDescent="0.4">
      <c r="A549" t="s">
        <v>243</v>
      </c>
      <c r="B549" s="194">
        <v>1547729</v>
      </c>
      <c r="C549" s="194">
        <v>1663112</v>
      </c>
      <c r="D549" s="194">
        <v>1997447</v>
      </c>
      <c r="F549" s="194">
        <v>457686</v>
      </c>
      <c r="G549" s="194">
        <v>539198</v>
      </c>
      <c r="H549" s="194">
        <v>550139</v>
      </c>
    </row>
    <row r="550" spans="1:9" x14ac:dyDescent="0.4">
      <c r="A550" t="s">
        <v>244</v>
      </c>
      <c r="B550" s="194">
        <v>141151</v>
      </c>
      <c r="C550" s="194">
        <v>205190</v>
      </c>
      <c r="D550" s="194">
        <v>319932</v>
      </c>
      <c r="F550" s="194">
        <v>77188</v>
      </c>
      <c r="G550" s="194">
        <v>105812</v>
      </c>
      <c r="H550" s="194">
        <v>92478</v>
      </c>
    </row>
    <row r="551" spans="1:9" x14ac:dyDescent="0.4">
      <c r="A551" t="s">
        <v>276</v>
      </c>
      <c r="B551" s="194">
        <v>141151</v>
      </c>
      <c r="C551" s="194">
        <v>205190</v>
      </c>
      <c r="D551" s="194">
        <v>319932</v>
      </c>
      <c r="F551" s="194">
        <v>77188</v>
      </c>
      <c r="G551" s="194">
        <v>105812</v>
      </c>
      <c r="H551" s="194">
        <v>92478</v>
      </c>
    </row>
    <row r="552" spans="1:9" x14ac:dyDescent="0.4">
      <c r="A552" t="s">
        <v>277</v>
      </c>
      <c r="B552" s="194">
        <v>153533</v>
      </c>
      <c r="C552" s="194">
        <v>156150</v>
      </c>
      <c r="D552" s="194">
        <v>309710</v>
      </c>
      <c r="F552" s="194">
        <v>91292</v>
      </c>
      <c r="G552" s="194">
        <v>85947</v>
      </c>
      <c r="H552" s="194">
        <v>86995</v>
      </c>
    </row>
    <row r="553" spans="1:9" x14ac:dyDescent="0.4">
      <c r="A553" t="s">
        <v>280</v>
      </c>
      <c r="B553" s="194">
        <v>2161809</v>
      </c>
      <c r="C553" s="194">
        <v>2296644</v>
      </c>
      <c r="D553" s="194">
        <v>2511122</v>
      </c>
      <c r="F553" s="194">
        <v>2278276</v>
      </c>
      <c r="G553" s="194">
        <v>2406844</v>
      </c>
      <c r="H553" s="194">
        <v>2511122</v>
      </c>
    </row>
    <row r="554" spans="1:9" x14ac:dyDescent="0.4">
      <c r="A554" t="s">
        <v>281</v>
      </c>
      <c r="B554" s="194">
        <v>383107</v>
      </c>
      <c r="C554" s="194">
        <v>463477</v>
      </c>
      <c r="D554" s="194">
        <v>579185</v>
      </c>
      <c r="F554" s="194">
        <v>464747</v>
      </c>
      <c r="G554" s="194">
        <v>532943</v>
      </c>
      <c r="H554" s="194">
        <v>579185</v>
      </c>
    </row>
    <row r="555" spans="1:9" x14ac:dyDescent="0.4">
      <c r="A555" t="s">
        <v>282</v>
      </c>
      <c r="B555" s="194">
        <v>1778702</v>
      </c>
      <c r="C555" s="194">
        <v>1833167</v>
      </c>
      <c r="D555" s="194">
        <v>1931937</v>
      </c>
      <c r="F555" s="194">
        <v>1813529</v>
      </c>
      <c r="G555" s="194">
        <v>1873901</v>
      </c>
      <c r="H555" s="194">
        <v>1931937</v>
      </c>
    </row>
    <row r="556" spans="1:9" x14ac:dyDescent="0.4">
      <c r="A556" t="s">
        <v>285</v>
      </c>
      <c r="B556" s="196">
        <v>8975</v>
      </c>
      <c r="C556" s="194">
        <v>8975</v>
      </c>
      <c r="D556" s="196">
        <v>8975</v>
      </c>
      <c r="F556" s="196">
        <v>8975</v>
      </c>
      <c r="G556" s="196">
        <v>8975</v>
      </c>
      <c r="H556" s="196">
        <v>8975</v>
      </c>
    </row>
    <row r="557" spans="1:9" x14ac:dyDescent="0.4">
      <c r="A557" t="s">
        <v>286</v>
      </c>
      <c r="B557">
        <v>21.54</v>
      </c>
      <c r="C557">
        <v>25.28</v>
      </c>
      <c r="D557">
        <v>29.98</v>
      </c>
      <c r="F557">
        <v>25.63</v>
      </c>
      <c r="G557">
        <v>28.44</v>
      </c>
      <c r="H557">
        <v>29.98</v>
      </c>
    </row>
    <row r="558" spans="1:9" x14ac:dyDescent="0.4">
      <c r="A558" t="s">
        <v>287</v>
      </c>
    </row>
    <row r="560" spans="1:9" x14ac:dyDescent="0.4">
      <c r="A560" t="s">
        <v>288</v>
      </c>
      <c r="B560" s="196"/>
      <c r="C560" s="196"/>
      <c r="D560" s="196"/>
      <c r="F560" s="196"/>
      <c r="G560" s="196"/>
      <c r="H560" s="196"/>
    </row>
    <row r="561" spans="1:8" x14ac:dyDescent="0.4">
      <c r="A561" t="s">
        <v>289</v>
      </c>
      <c r="B561" s="196">
        <v>19718.099999999999</v>
      </c>
      <c r="C561" s="196">
        <v>20324.939999999999</v>
      </c>
      <c r="D561" s="196">
        <v>21425.43</v>
      </c>
      <c r="F561" s="196">
        <v>20106.13</v>
      </c>
      <c r="G561" s="196">
        <v>20778.8</v>
      </c>
      <c r="H561" s="196">
        <v>21425.43</v>
      </c>
    </row>
    <row r="562" spans="1:8" x14ac:dyDescent="0.4">
      <c r="A562" t="s">
        <v>290</v>
      </c>
    </row>
    <row r="564" spans="1:8" x14ac:dyDescent="0.4">
      <c r="A564" t="s">
        <v>291</v>
      </c>
    </row>
    <row r="565" spans="1:8" x14ac:dyDescent="0.4">
      <c r="A565" t="s">
        <v>292</v>
      </c>
      <c r="B565">
        <v>9.1199999999999992</v>
      </c>
      <c r="C565">
        <v>12.34</v>
      </c>
      <c r="D565">
        <v>16.02</v>
      </c>
      <c r="F565">
        <v>16.86</v>
      </c>
      <c r="G565">
        <v>19.62</v>
      </c>
      <c r="H565">
        <v>16.809999999999999</v>
      </c>
    </row>
    <row r="566" spans="1:8" x14ac:dyDescent="0.4">
      <c r="A566" t="s">
        <v>293</v>
      </c>
    </row>
    <row r="568" spans="1:8" x14ac:dyDescent="0.4">
      <c r="A568" t="s">
        <v>294</v>
      </c>
    </row>
    <row r="569" spans="1:8" x14ac:dyDescent="0.4">
      <c r="A569" t="s">
        <v>320</v>
      </c>
      <c r="B569">
        <v>9.92</v>
      </c>
      <c r="C569">
        <v>9.39</v>
      </c>
      <c r="D569">
        <v>15.51</v>
      </c>
      <c r="F569">
        <v>19.95</v>
      </c>
      <c r="G569">
        <v>15.94</v>
      </c>
      <c r="H569">
        <v>15.81</v>
      </c>
    </row>
    <row r="570" spans="1:8" x14ac:dyDescent="0.4">
      <c r="A570" t="s">
        <v>296</v>
      </c>
    </row>
    <row r="572" spans="1:8" x14ac:dyDescent="0.4">
      <c r="A572" t="s">
        <v>321</v>
      </c>
    </row>
    <row r="573" spans="1:8" x14ac:dyDescent="0.4">
      <c r="A573" t="s">
        <v>298</v>
      </c>
      <c r="B573">
        <v>7.06</v>
      </c>
      <c r="C573">
        <v>7</v>
      </c>
      <c r="D573">
        <v>12.88</v>
      </c>
      <c r="F573">
        <v>15.73</v>
      </c>
      <c r="G573">
        <v>14.68</v>
      </c>
      <c r="H573">
        <v>14.15</v>
      </c>
    </row>
    <row r="574" spans="1:8" x14ac:dyDescent="0.4">
      <c r="A574" t="s">
        <v>299</v>
      </c>
    </row>
    <row r="576" spans="1:8" x14ac:dyDescent="0.4">
      <c r="A576" t="s">
        <v>300</v>
      </c>
      <c r="C576" s="194"/>
      <c r="D576" s="194"/>
    </row>
    <row r="577" spans="1:8" x14ac:dyDescent="0.4">
      <c r="A577" t="s">
        <v>301</v>
      </c>
      <c r="B577">
        <v>8.75</v>
      </c>
      <c r="C577">
        <v>8.65</v>
      </c>
      <c r="D577">
        <v>16.45</v>
      </c>
      <c r="F577">
        <v>20.51</v>
      </c>
      <c r="G577">
        <v>18.649999999999999</v>
      </c>
      <c r="H577">
        <v>18.29</v>
      </c>
    </row>
    <row r="578" spans="1:8" x14ac:dyDescent="0.4">
      <c r="A578" t="s">
        <v>302</v>
      </c>
    </row>
    <row r="580" spans="1:8" x14ac:dyDescent="0.4">
      <c r="A580" t="s">
        <v>249</v>
      </c>
      <c r="B580" s="194"/>
      <c r="C580" s="194"/>
      <c r="D580" s="194"/>
      <c r="F580" s="194"/>
      <c r="G580" s="194"/>
      <c r="H580" s="194"/>
    </row>
    <row r="581" spans="1:8" x14ac:dyDescent="0.4">
      <c r="A581" t="s">
        <v>245</v>
      </c>
      <c r="B581" s="194">
        <v>2260</v>
      </c>
      <c r="C581" s="194">
        <v>2299</v>
      </c>
      <c r="D581" s="194">
        <v>4559</v>
      </c>
      <c r="F581" s="194">
        <v>1344</v>
      </c>
      <c r="G581" s="194">
        <v>1265</v>
      </c>
      <c r="H581" s="194">
        <v>1281</v>
      </c>
    </row>
    <row r="582" spans="1:8" x14ac:dyDescent="0.4">
      <c r="A582" t="s">
        <v>303</v>
      </c>
    </row>
    <row r="584" spans="1:8" x14ac:dyDescent="0.4">
      <c r="A584" t="s">
        <v>245</v>
      </c>
      <c r="B584" s="194"/>
      <c r="C584" s="194"/>
      <c r="D584" s="194"/>
      <c r="F584" s="194"/>
      <c r="G584" s="194"/>
      <c r="H584" s="194"/>
    </row>
    <row r="585" spans="1:8" x14ac:dyDescent="0.4">
      <c r="A585" t="s">
        <v>304</v>
      </c>
      <c r="B585" s="194">
        <v>26186</v>
      </c>
      <c r="C585" s="194">
        <v>26987</v>
      </c>
      <c r="D585" s="194">
        <v>28442</v>
      </c>
      <c r="F585" s="194">
        <v>26698</v>
      </c>
      <c r="G585" s="194">
        <v>27587</v>
      </c>
      <c r="H585" s="194">
        <v>28442</v>
      </c>
    </row>
    <row r="586" spans="1:8" x14ac:dyDescent="0.4">
      <c r="A586" t="s">
        <v>305</v>
      </c>
    </row>
    <row r="588" spans="1:8" x14ac:dyDescent="0.4">
      <c r="A588" t="s">
        <v>304</v>
      </c>
      <c r="C588" s="194"/>
      <c r="D588" s="194"/>
    </row>
    <row r="589" spans="1:8" x14ac:dyDescent="0.4">
      <c r="A589" t="s">
        <v>306</v>
      </c>
      <c r="B589" s="194">
        <v>1416</v>
      </c>
      <c r="C589" s="194">
        <v>2994</v>
      </c>
      <c r="D589" s="194">
        <v>1444</v>
      </c>
      <c r="F589">
        <v>361</v>
      </c>
      <c r="G589">
        <v>361</v>
      </c>
      <c r="H589">
        <v>361</v>
      </c>
    </row>
    <row r="590" spans="1:8" x14ac:dyDescent="0.4">
      <c r="A590" t="s">
        <v>307</v>
      </c>
    </row>
    <row r="592" spans="1:8" x14ac:dyDescent="0.4">
      <c r="A592" t="s">
        <v>306</v>
      </c>
    </row>
    <row r="593" spans="1:9" x14ac:dyDescent="0.4">
      <c r="A593" t="s">
        <v>308</v>
      </c>
      <c r="B593">
        <v>24.69</v>
      </c>
      <c r="C593">
        <v>35.24</v>
      </c>
      <c r="D593">
        <v>17.170000000000002</v>
      </c>
    </row>
    <row r="594" spans="1:9" x14ac:dyDescent="0.4">
      <c r="A594" t="s">
        <v>309</v>
      </c>
    </row>
    <row r="596" spans="1:9" x14ac:dyDescent="0.4">
      <c r="A596" t="s">
        <v>74</v>
      </c>
      <c r="B596" s="194"/>
      <c r="C596" s="194"/>
      <c r="D596" s="194"/>
      <c r="F596" s="194"/>
      <c r="G596" s="194"/>
      <c r="H596" s="194"/>
    </row>
    <row r="597" spans="1:9" x14ac:dyDescent="0.4">
      <c r="A597" t="s">
        <v>310</v>
      </c>
      <c r="B597">
        <v>2.13</v>
      </c>
      <c r="C597">
        <v>3</v>
      </c>
      <c r="D597">
        <v>2.75</v>
      </c>
      <c r="F597">
        <v>3.02</v>
      </c>
      <c r="G597">
        <v>2.69</v>
      </c>
      <c r="H597">
        <v>2.75</v>
      </c>
    </row>
    <row r="598" spans="1:9" x14ac:dyDescent="0.4">
      <c r="A598" t="s">
        <v>311</v>
      </c>
    </row>
    <row r="600" spans="1:9" x14ac:dyDescent="0.4">
      <c r="A600" t="s">
        <v>84</v>
      </c>
      <c r="B600" s="194"/>
      <c r="C600" s="194"/>
      <c r="D600" s="194"/>
      <c r="F600" s="194"/>
      <c r="G600" s="194"/>
      <c r="H600" s="194"/>
    </row>
    <row r="601" spans="1:9" x14ac:dyDescent="0.4">
      <c r="A601" t="s">
        <v>312</v>
      </c>
      <c r="B601" s="194">
        <v>5969783</v>
      </c>
      <c r="C601" s="194">
        <v>5969783</v>
      </c>
      <c r="D601" s="194">
        <v>5969783</v>
      </c>
      <c r="F601" s="194">
        <v>5969783</v>
      </c>
      <c r="G601" s="194">
        <v>5969783</v>
      </c>
      <c r="H601" s="194">
        <v>5969783</v>
      </c>
    </row>
    <row r="602" spans="1:9" x14ac:dyDescent="0.4">
      <c r="A602" t="s">
        <v>313</v>
      </c>
      <c r="B602">
        <v>2.54</v>
      </c>
      <c r="C602">
        <v>3.7</v>
      </c>
      <c r="D602">
        <v>1.84</v>
      </c>
      <c r="F602">
        <v>0.45</v>
      </c>
      <c r="G602">
        <v>0.49</v>
      </c>
      <c r="H602">
        <v>0.46</v>
      </c>
    </row>
    <row r="603" spans="1:9" x14ac:dyDescent="0.4">
      <c r="A603" t="s">
        <v>314</v>
      </c>
      <c r="B603" s="197"/>
      <c r="C603" s="197"/>
      <c r="D603" s="197"/>
      <c r="E603" s="197"/>
      <c r="F603" s="197"/>
    </row>
    <row r="605" spans="1:9" x14ac:dyDescent="0.4">
      <c r="A605" t="s">
        <v>85</v>
      </c>
    </row>
    <row r="606" spans="1:9" x14ac:dyDescent="0.4">
      <c r="A606" t="s">
        <v>265</v>
      </c>
    </row>
    <row r="607" spans="1:9" x14ac:dyDescent="0.4">
      <c r="A607" t="s">
        <v>319</v>
      </c>
      <c r="B607" s="197" t="s">
        <v>270</v>
      </c>
      <c r="C607" s="197"/>
      <c r="D607" s="197"/>
      <c r="E607" s="197"/>
      <c r="F607" s="197"/>
    </row>
    <row r="608" spans="1:9" x14ac:dyDescent="0.4">
      <c r="B608" s="197">
        <v>43070</v>
      </c>
      <c r="C608" s="197">
        <v>43435</v>
      </c>
      <c r="D608" s="197">
        <v>43800</v>
      </c>
      <c r="E608" s="197">
        <v>44166</v>
      </c>
      <c r="F608" s="197">
        <v>44531</v>
      </c>
      <c r="G608" t="s">
        <v>272</v>
      </c>
      <c r="H608" t="s">
        <v>272</v>
      </c>
      <c r="I608" t="s">
        <v>272</v>
      </c>
    </row>
    <row r="609" spans="1:9" x14ac:dyDescent="0.4">
      <c r="G609" t="s">
        <v>273</v>
      </c>
      <c r="H609" t="s">
        <v>273</v>
      </c>
      <c r="I609" t="s">
        <v>273</v>
      </c>
    </row>
    <row r="611" spans="1:9" x14ac:dyDescent="0.4">
      <c r="B611" s="194"/>
      <c r="C611" s="194"/>
      <c r="D611" s="194"/>
      <c r="E611" s="194"/>
      <c r="F611" s="194"/>
      <c r="G611" t="s">
        <v>274</v>
      </c>
      <c r="H611" t="s">
        <v>315</v>
      </c>
      <c r="I611" t="s">
        <v>316</v>
      </c>
    </row>
    <row r="612" spans="1:9" x14ac:dyDescent="0.4">
      <c r="A612" t="s">
        <v>243</v>
      </c>
      <c r="B612" s="194">
        <v>1619150</v>
      </c>
      <c r="C612" s="194">
        <v>1703819</v>
      </c>
      <c r="D612" s="194">
        <v>1547729</v>
      </c>
      <c r="E612" s="194">
        <v>1663112</v>
      </c>
      <c r="F612" s="194">
        <v>1997447</v>
      </c>
    </row>
    <row r="613" spans="1:9" x14ac:dyDescent="0.4">
      <c r="A613" t="s">
        <v>244</v>
      </c>
      <c r="B613" s="194">
        <v>348571</v>
      </c>
      <c r="C613" s="194">
        <v>436995</v>
      </c>
      <c r="D613" s="194">
        <v>141151</v>
      </c>
      <c r="E613" s="194">
        <v>205190</v>
      </c>
      <c r="F613" s="194">
        <v>319932</v>
      </c>
    </row>
    <row r="614" spans="1:9" x14ac:dyDescent="0.4">
      <c r="A614" t="s">
        <v>276</v>
      </c>
      <c r="B614" s="194">
        <v>348571</v>
      </c>
      <c r="C614" s="194">
        <v>436995</v>
      </c>
      <c r="D614" s="194">
        <v>141151</v>
      </c>
      <c r="E614" s="194">
        <v>205190</v>
      </c>
      <c r="F614" s="194">
        <v>319932</v>
      </c>
    </row>
    <row r="615" spans="1:9" x14ac:dyDescent="0.4">
      <c r="A615" t="s">
        <v>277</v>
      </c>
      <c r="B615" s="194">
        <v>288008</v>
      </c>
      <c r="C615" s="194">
        <v>328151</v>
      </c>
      <c r="D615" s="194">
        <v>153533</v>
      </c>
      <c r="E615" s="194">
        <v>156150</v>
      </c>
      <c r="F615" s="194">
        <v>309710</v>
      </c>
    </row>
    <row r="616" spans="1:9" x14ac:dyDescent="0.4">
      <c r="A616" t="s">
        <v>280</v>
      </c>
      <c r="B616" s="194">
        <v>1982414</v>
      </c>
      <c r="C616" s="194">
        <v>2190214</v>
      </c>
      <c r="D616" s="194">
        <v>2161809</v>
      </c>
      <c r="E616" s="194">
        <v>2296644</v>
      </c>
      <c r="F616" s="194">
        <v>2511122</v>
      </c>
    </row>
    <row r="617" spans="1:9" x14ac:dyDescent="0.4">
      <c r="A617" t="s">
        <v>281</v>
      </c>
      <c r="B617" s="194">
        <v>466716</v>
      </c>
      <c r="C617" s="194">
        <v>460332</v>
      </c>
      <c r="D617" s="194">
        <v>383107</v>
      </c>
      <c r="E617" s="194">
        <v>463477</v>
      </c>
      <c r="F617" s="194">
        <v>579185</v>
      </c>
    </row>
    <row r="618" spans="1:9" x14ac:dyDescent="0.4">
      <c r="A618" t="s">
        <v>282</v>
      </c>
      <c r="B618" s="194">
        <v>1515698</v>
      </c>
      <c r="C618" s="194">
        <v>1729881</v>
      </c>
      <c r="D618" s="194">
        <v>1778702</v>
      </c>
      <c r="E618" s="194">
        <v>1833167</v>
      </c>
      <c r="F618" s="194">
        <v>1931937</v>
      </c>
    </row>
    <row r="619" spans="1:9" x14ac:dyDescent="0.4">
      <c r="A619" t="s">
        <v>285</v>
      </c>
      <c r="B619" s="194">
        <v>8975</v>
      </c>
      <c r="C619" s="196">
        <v>8975</v>
      </c>
      <c r="D619" s="196">
        <v>8975</v>
      </c>
      <c r="E619" s="194">
        <v>8975</v>
      </c>
      <c r="F619" s="196">
        <v>8975</v>
      </c>
    </row>
    <row r="620" spans="1:9" x14ac:dyDescent="0.4">
      <c r="A620" t="s">
        <v>286</v>
      </c>
      <c r="B620">
        <v>30.79</v>
      </c>
      <c r="C620">
        <v>26.61</v>
      </c>
      <c r="D620">
        <v>21.54</v>
      </c>
      <c r="E620">
        <v>25.28</v>
      </c>
      <c r="F620">
        <v>29.98</v>
      </c>
    </row>
    <row r="621" spans="1:9" x14ac:dyDescent="0.4">
      <c r="A621" t="s">
        <v>287</v>
      </c>
    </row>
    <row r="623" spans="1:9" x14ac:dyDescent="0.4">
      <c r="A623" t="s">
        <v>288</v>
      </c>
      <c r="B623" s="196"/>
      <c r="C623" s="196"/>
      <c r="D623" s="196"/>
      <c r="E623" s="196"/>
      <c r="F623" s="196"/>
    </row>
    <row r="624" spans="1:9" x14ac:dyDescent="0.4">
      <c r="A624" t="s">
        <v>289</v>
      </c>
      <c r="B624" s="196">
        <v>17481.669999999998</v>
      </c>
      <c r="C624" s="196">
        <v>19174.14</v>
      </c>
      <c r="D624" s="196">
        <v>19718.099999999999</v>
      </c>
      <c r="E624" s="196">
        <v>20324.939999999999</v>
      </c>
      <c r="F624" s="196">
        <v>21425.43</v>
      </c>
    </row>
    <row r="625" spans="1:6" x14ac:dyDescent="0.4">
      <c r="A625" t="s">
        <v>290</v>
      </c>
    </row>
    <row r="627" spans="1:6" x14ac:dyDescent="0.4">
      <c r="A627" t="s">
        <v>291</v>
      </c>
    </row>
    <row r="628" spans="1:6" x14ac:dyDescent="0.4">
      <c r="A628" t="s">
        <v>292</v>
      </c>
      <c r="B628">
        <v>21.53</v>
      </c>
      <c r="C628">
        <v>25.65</v>
      </c>
      <c r="D628">
        <v>9.1199999999999992</v>
      </c>
      <c r="E628">
        <v>12.34</v>
      </c>
      <c r="F628">
        <v>16.02</v>
      </c>
    </row>
    <row r="629" spans="1:6" x14ac:dyDescent="0.4">
      <c r="A629" t="s">
        <v>293</v>
      </c>
    </row>
    <row r="631" spans="1:6" x14ac:dyDescent="0.4">
      <c r="A631" t="s">
        <v>294</v>
      </c>
    </row>
    <row r="632" spans="1:6" x14ac:dyDescent="0.4">
      <c r="A632" t="s">
        <v>320</v>
      </c>
      <c r="B632">
        <v>17.79</v>
      </c>
      <c r="C632">
        <v>19.260000000000002</v>
      </c>
      <c r="D632">
        <v>9.92</v>
      </c>
      <c r="E632">
        <v>9.39</v>
      </c>
      <c r="F632">
        <v>15.51</v>
      </c>
    </row>
    <row r="633" spans="1:6" x14ac:dyDescent="0.4">
      <c r="A633" t="s">
        <v>296</v>
      </c>
    </row>
    <row r="635" spans="1:6" x14ac:dyDescent="0.4">
      <c r="A635" t="s">
        <v>321</v>
      </c>
    </row>
    <row r="636" spans="1:6" x14ac:dyDescent="0.4">
      <c r="A636" t="s">
        <v>298</v>
      </c>
      <c r="B636">
        <v>15.44</v>
      </c>
      <c r="C636">
        <v>15.73</v>
      </c>
      <c r="D636">
        <v>7.06</v>
      </c>
      <c r="E636">
        <v>7</v>
      </c>
      <c r="F636">
        <v>12.88</v>
      </c>
    </row>
    <row r="637" spans="1:6" x14ac:dyDescent="0.4">
      <c r="A637" t="s">
        <v>299</v>
      </c>
    </row>
    <row r="639" spans="1:6" x14ac:dyDescent="0.4">
      <c r="A639" t="s">
        <v>300</v>
      </c>
      <c r="E639" s="194"/>
      <c r="F639" s="194"/>
    </row>
    <row r="640" spans="1:6" x14ac:dyDescent="0.4">
      <c r="A640" t="s">
        <v>301</v>
      </c>
      <c r="B640">
        <v>19.920000000000002</v>
      </c>
      <c r="C640">
        <v>20.22</v>
      </c>
      <c r="D640">
        <v>8.75</v>
      </c>
      <c r="E640">
        <v>8.65</v>
      </c>
      <c r="F640">
        <v>16.45</v>
      </c>
    </row>
    <row r="641" spans="1:6" x14ac:dyDescent="0.4">
      <c r="A641" t="s">
        <v>302</v>
      </c>
    </row>
    <row r="643" spans="1:6" x14ac:dyDescent="0.4">
      <c r="A643" t="s">
        <v>249</v>
      </c>
      <c r="B643" s="194"/>
      <c r="C643" s="194"/>
      <c r="D643" s="194"/>
      <c r="E643" s="194"/>
      <c r="F643" s="194"/>
    </row>
    <row r="644" spans="1:6" x14ac:dyDescent="0.4">
      <c r="A644" t="s">
        <v>245</v>
      </c>
      <c r="B644" s="194">
        <v>3776</v>
      </c>
      <c r="C644" s="194">
        <v>4504</v>
      </c>
      <c r="D644" s="194">
        <v>2260</v>
      </c>
      <c r="E644" s="194">
        <v>2299</v>
      </c>
      <c r="F644" s="194">
        <v>4559</v>
      </c>
    </row>
    <row r="645" spans="1:6" x14ac:dyDescent="0.4">
      <c r="A645" t="s">
        <v>303</v>
      </c>
    </row>
    <row r="647" spans="1:6" x14ac:dyDescent="0.4">
      <c r="A647" t="s">
        <v>245</v>
      </c>
      <c r="B647" s="194"/>
      <c r="C647" s="194"/>
      <c r="D647" s="194"/>
      <c r="E647" s="194"/>
      <c r="F647" s="194"/>
    </row>
    <row r="648" spans="1:6" x14ac:dyDescent="0.4">
      <c r="A648" t="s">
        <v>304</v>
      </c>
      <c r="B648" s="194">
        <v>21418</v>
      </c>
      <c r="C648" s="194">
        <v>25467</v>
      </c>
      <c r="D648" s="194">
        <v>26186</v>
      </c>
      <c r="E648" s="194">
        <v>26987</v>
      </c>
      <c r="F648" s="194">
        <v>28442</v>
      </c>
    </row>
    <row r="649" spans="1:6" x14ac:dyDescent="0.4">
      <c r="A649" t="s">
        <v>305</v>
      </c>
    </row>
    <row r="651" spans="1:6" x14ac:dyDescent="0.4">
      <c r="A651" t="s">
        <v>304</v>
      </c>
      <c r="E651" s="194"/>
      <c r="F651" s="194"/>
    </row>
    <row r="652" spans="1:6" x14ac:dyDescent="0.4">
      <c r="A652" t="s">
        <v>306</v>
      </c>
      <c r="B652">
        <v>850</v>
      </c>
      <c r="C652" s="194">
        <v>1416</v>
      </c>
      <c r="D652" s="194">
        <v>1416</v>
      </c>
      <c r="E652" s="194">
        <v>2994</v>
      </c>
      <c r="F652" s="194">
        <v>1444</v>
      </c>
    </row>
    <row r="653" spans="1:6" x14ac:dyDescent="0.4">
      <c r="A653" t="s">
        <v>307</v>
      </c>
    </row>
    <row r="655" spans="1:6" x14ac:dyDescent="0.4">
      <c r="A655" t="s">
        <v>306</v>
      </c>
    </row>
    <row r="656" spans="1:6" x14ac:dyDescent="0.4">
      <c r="A656" t="s">
        <v>308</v>
      </c>
      <c r="B656">
        <v>13.49</v>
      </c>
      <c r="C656">
        <v>8.59</v>
      </c>
      <c r="D656">
        <v>24.69</v>
      </c>
      <c r="E656">
        <v>35.24</v>
      </c>
      <c r="F656">
        <v>17.170000000000002</v>
      </c>
    </row>
    <row r="657" spans="1:9" x14ac:dyDescent="0.4">
      <c r="A657" t="s">
        <v>309</v>
      </c>
    </row>
    <row r="659" spans="1:9" x14ac:dyDescent="0.4">
      <c r="A659" t="s">
        <v>74</v>
      </c>
      <c r="C659" s="194"/>
      <c r="D659" s="194"/>
      <c r="E659" s="194"/>
      <c r="F659" s="194"/>
    </row>
    <row r="660" spans="1:9" x14ac:dyDescent="0.4">
      <c r="A660" t="s">
        <v>310</v>
      </c>
      <c r="B660">
        <v>2.38</v>
      </c>
      <c r="C660">
        <v>1.52</v>
      </c>
      <c r="D660">
        <v>2.13</v>
      </c>
      <c r="E660">
        <v>3</v>
      </c>
      <c r="F660">
        <v>2.75</v>
      </c>
    </row>
    <row r="661" spans="1:9" x14ac:dyDescent="0.4">
      <c r="A661" t="s">
        <v>311</v>
      </c>
    </row>
    <row r="663" spans="1:9" x14ac:dyDescent="0.4">
      <c r="A663" t="s">
        <v>84</v>
      </c>
      <c r="B663" s="194"/>
      <c r="C663" s="194"/>
      <c r="D663" s="194"/>
      <c r="E663" s="194"/>
      <c r="F663" s="194"/>
    </row>
    <row r="664" spans="1:9" x14ac:dyDescent="0.4">
      <c r="A664" t="s">
        <v>312</v>
      </c>
      <c r="B664" s="194">
        <v>6454925</v>
      </c>
      <c r="C664" s="194">
        <v>5969783</v>
      </c>
      <c r="D664" s="194">
        <v>5969783</v>
      </c>
      <c r="E664" s="194">
        <v>5969783</v>
      </c>
      <c r="F664" s="194">
        <v>5969783</v>
      </c>
    </row>
    <row r="665" spans="1:9" x14ac:dyDescent="0.4">
      <c r="A665" t="s">
        <v>313</v>
      </c>
      <c r="B665">
        <v>1.67</v>
      </c>
      <c r="C665">
        <v>3.66</v>
      </c>
      <c r="D665">
        <v>2.54</v>
      </c>
      <c r="E665">
        <v>3.7</v>
      </c>
      <c r="F665">
        <v>1.84</v>
      </c>
    </row>
    <row r="666" spans="1:9" x14ac:dyDescent="0.4">
      <c r="A666" t="s">
        <v>314</v>
      </c>
      <c r="B666" s="197"/>
      <c r="C666" s="197"/>
      <c r="D666" s="197"/>
      <c r="E666" s="197"/>
      <c r="F666" s="197"/>
    </row>
    <row r="668" spans="1:9" x14ac:dyDescent="0.4">
      <c r="A668" t="s">
        <v>85</v>
      </c>
    </row>
    <row r="669" spans="1:9" x14ac:dyDescent="0.4">
      <c r="A669" t="s">
        <v>265</v>
      </c>
    </row>
    <row r="670" spans="1:9" x14ac:dyDescent="0.4">
      <c r="A670" t="s">
        <v>319</v>
      </c>
      <c r="B670" s="197" t="s">
        <v>271</v>
      </c>
      <c r="C670" s="197"/>
      <c r="D670" s="197"/>
      <c r="E670" s="197"/>
      <c r="F670" s="197"/>
    </row>
    <row r="671" spans="1:9" x14ac:dyDescent="0.4">
      <c r="B671" s="197">
        <v>44166</v>
      </c>
      <c r="C671" s="197">
        <v>44256</v>
      </c>
      <c r="D671" s="197">
        <v>44348</v>
      </c>
      <c r="E671" s="197">
        <v>44440</v>
      </c>
      <c r="F671" s="197">
        <v>44531</v>
      </c>
      <c r="G671" t="s">
        <v>272</v>
      </c>
      <c r="H671" t="s">
        <v>272</v>
      </c>
      <c r="I671" t="s">
        <v>272</v>
      </c>
    </row>
    <row r="672" spans="1:9" x14ac:dyDescent="0.4">
      <c r="G672" t="s">
        <v>273</v>
      </c>
      <c r="H672" t="s">
        <v>273</v>
      </c>
      <c r="I672" t="s">
        <v>273</v>
      </c>
    </row>
    <row r="674" spans="1:9" x14ac:dyDescent="0.4">
      <c r="B674" s="194"/>
      <c r="C674" s="194"/>
      <c r="D674" s="194"/>
      <c r="E674" s="194"/>
      <c r="F674" s="194"/>
      <c r="G674" t="s">
        <v>275</v>
      </c>
      <c r="H674" t="s">
        <v>317</v>
      </c>
      <c r="I674" t="s">
        <v>318</v>
      </c>
    </row>
    <row r="675" spans="1:9" x14ac:dyDescent="0.4">
      <c r="A675" t="s">
        <v>243</v>
      </c>
      <c r="B675" s="194">
        <v>405179</v>
      </c>
      <c r="C675" s="194">
        <v>450424</v>
      </c>
      <c r="D675" s="194">
        <v>457686</v>
      </c>
      <c r="E675" s="194">
        <v>539198</v>
      </c>
      <c r="F675" s="194">
        <v>550139</v>
      </c>
    </row>
    <row r="676" spans="1:9" x14ac:dyDescent="0.4">
      <c r="A676" t="s">
        <v>244</v>
      </c>
      <c r="B676" s="194">
        <v>58023</v>
      </c>
      <c r="C676" s="194">
        <v>44455</v>
      </c>
      <c r="D676" s="194">
        <v>77188</v>
      </c>
      <c r="E676" s="194">
        <v>105812</v>
      </c>
      <c r="F676" s="194">
        <v>92478</v>
      </c>
    </row>
    <row r="677" spans="1:9" x14ac:dyDescent="0.4">
      <c r="A677" t="s">
        <v>276</v>
      </c>
      <c r="B677" s="194">
        <v>58023</v>
      </c>
      <c r="C677" s="194">
        <v>44455</v>
      </c>
      <c r="D677" s="194">
        <v>77188</v>
      </c>
      <c r="E677" s="194">
        <v>105812</v>
      </c>
      <c r="F677" s="194">
        <v>92478</v>
      </c>
    </row>
    <row r="678" spans="1:9" x14ac:dyDescent="0.4">
      <c r="A678" t="s">
        <v>277</v>
      </c>
      <c r="B678" s="194">
        <v>45168</v>
      </c>
      <c r="C678" s="194">
        <v>45476</v>
      </c>
      <c r="D678" s="194">
        <v>91292</v>
      </c>
      <c r="E678" s="194">
        <v>85947</v>
      </c>
      <c r="F678" s="194">
        <v>86995</v>
      </c>
    </row>
    <row r="679" spans="1:9" x14ac:dyDescent="0.4">
      <c r="A679" t="s">
        <v>280</v>
      </c>
      <c r="B679" s="194">
        <v>2296644</v>
      </c>
      <c r="C679" s="194">
        <v>2365306</v>
      </c>
      <c r="D679" s="194">
        <v>2278276</v>
      </c>
      <c r="E679" s="194">
        <v>2406844</v>
      </c>
      <c r="F679" s="194">
        <v>2511122</v>
      </c>
    </row>
    <row r="680" spans="1:9" x14ac:dyDescent="0.4">
      <c r="A680" t="s">
        <v>281</v>
      </c>
      <c r="B680" s="194">
        <v>463477</v>
      </c>
      <c r="C680" s="194">
        <v>617745</v>
      </c>
      <c r="D680" s="194">
        <v>464747</v>
      </c>
      <c r="E680" s="194">
        <v>532943</v>
      </c>
      <c r="F680" s="194">
        <v>579185</v>
      </c>
    </row>
    <row r="681" spans="1:9" x14ac:dyDescent="0.4">
      <c r="A681" t="s">
        <v>282</v>
      </c>
      <c r="B681" s="194">
        <v>1833167</v>
      </c>
      <c r="C681" s="194">
        <v>1747561</v>
      </c>
      <c r="D681" s="194">
        <v>1813529</v>
      </c>
      <c r="E681" s="194">
        <v>1873901</v>
      </c>
      <c r="F681" s="194">
        <v>1931937</v>
      </c>
    </row>
    <row r="682" spans="1:9" x14ac:dyDescent="0.4">
      <c r="A682" t="s">
        <v>285</v>
      </c>
      <c r="B682" s="194">
        <v>8975</v>
      </c>
      <c r="C682" s="194">
        <v>8975</v>
      </c>
      <c r="D682" s="196">
        <v>8975</v>
      </c>
      <c r="E682" s="196">
        <v>8975</v>
      </c>
      <c r="F682" s="196">
        <v>8975</v>
      </c>
    </row>
    <row r="683" spans="1:9" x14ac:dyDescent="0.4">
      <c r="A683" t="s">
        <v>286</v>
      </c>
      <c r="B683">
        <v>25.28</v>
      </c>
      <c r="C683">
        <v>35.35</v>
      </c>
      <c r="D683">
        <v>25.63</v>
      </c>
      <c r="E683">
        <v>28.44</v>
      </c>
      <c r="F683">
        <v>29.98</v>
      </c>
    </row>
    <row r="684" spans="1:9" x14ac:dyDescent="0.4">
      <c r="A684" t="s">
        <v>287</v>
      </c>
    </row>
    <row r="686" spans="1:9" x14ac:dyDescent="0.4">
      <c r="A686" t="s">
        <v>288</v>
      </c>
      <c r="B686" s="196"/>
      <c r="C686" s="196"/>
      <c r="D686" s="196"/>
      <c r="E686" s="196"/>
      <c r="F686" s="196"/>
    </row>
    <row r="687" spans="1:9" x14ac:dyDescent="0.4">
      <c r="A687" t="s">
        <v>289</v>
      </c>
      <c r="B687" s="196">
        <v>20324.939999999999</v>
      </c>
      <c r="C687" s="196">
        <v>19371.13</v>
      </c>
      <c r="D687" s="196">
        <v>20106.13</v>
      </c>
      <c r="E687" s="196">
        <v>20778.8</v>
      </c>
      <c r="F687" s="196">
        <v>21425.43</v>
      </c>
    </row>
    <row r="688" spans="1:9" x14ac:dyDescent="0.4">
      <c r="A688" t="s">
        <v>290</v>
      </c>
    </row>
    <row r="690" spans="1:6" x14ac:dyDescent="0.4">
      <c r="A690" t="s">
        <v>291</v>
      </c>
    </row>
    <row r="691" spans="1:6" x14ac:dyDescent="0.4">
      <c r="A691" t="s">
        <v>292</v>
      </c>
      <c r="B691">
        <v>14.32</v>
      </c>
      <c r="C691">
        <v>9.8699999999999992</v>
      </c>
      <c r="D691">
        <v>16.86</v>
      </c>
      <c r="E691">
        <v>19.62</v>
      </c>
      <c r="F691">
        <v>16.809999999999999</v>
      </c>
    </row>
    <row r="692" spans="1:6" x14ac:dyDescent="0.4">
      <c r="A692" t="s">
        <v>293</v>
      </c>
    </row>
    <row r="694" spans="1:6" x14ac:dyDescent="0.4">
      <c r="A694" t="s">
        <v>294</v>
      </c>
    </row>
    <row r="695" spans="1:6" x14ac:dyDescent="0.4">
      <c r="A695" t="s">
        <v>320</v>
      </c>
      <c r="B695">
        <v>11.15</v>
      </c>
      <c r="C695">
        <v>10.1</v>
      </c>
      <c r="D695">
        <v>19.95</v>
      </c>
      <c r="E695">
        <v>15.94</v>
      </c>
      <c r="F695">
        <v>15.81</v>
      </c>
    </row>
    <row r="696" spans="1:6" x14ac:dyDescent="0.4">
      <c r="A696" t="s">
        <v>296</v>
      </c>
    </row>
    <row r="698" spans="1:6" x14ac:dyDescent="0.4">
      <c r="A698" t="s">
        <v>321</v>
      </c>
    </row>
    <row r="699" spans="1:6" x14ac:dyDescent="0.4">
      <c r="A699" t="s">
        <v>298</v>
      </c>
      <c r="B699">
        <v>7.89</v>
      </c>
      <c r="C699">
        <v>7.8</v>
      </c>
      <c r="D699">
        <v>15.73</v>
      </c>
      <c r="E699">
        <v>14.68</v>
      </c>
      <c r="F699">
        <v>14.15</v>
      </c>
    </row>
    <row r="700" spans="1:6" x14ac:dyDescent="0.4">
      <c r="A700" t="s">
        <v>299</v>
      </c>
    </row>
    <row r="702" spans="1:6" x14ac:dyDescent="0.4">
      <c r="A702" t="s">
        <v>300</v>
      </c>
    </row>
    <row r="703" spans="1:6" x14ac:dyDescent="0.4">
      <c r="A703" t="s">
        <v>301</v>
      </c>
      <c r="B703">
        <v>9.9</v>
      </c>
      <c r="C703">
        <v>10.16</v>
      </c>
      <c r="D703">
        <v>20.51</v>
      </c>
      <c r="E703">
        <v>18.649999999999999</v>
      </c>
      <c r="F703">
        <v>18.29</v>
      </c>
    </row>
    <row r="704" spans="1:6" x14ac:dyDescent="0.4">
      <c r="A704" t="s">
        <v>302</v>
      </c>
    </row>
    <row r="706" spans="1:6" x14ac:dyDescent="0.4">
      <c r="A706" t="s">
        <v>249</v>
      </c>
      <c r="B706" s="194"/>
      <c r="D706" s="194"/>
      <c r="E706" s="194"/>
      <c r="F706" s="194"/>
    </row>
    <row r="707" spans="1:6" x14ac:dyDescent="0.4">
      <c r="A707" t="s">
        <v>245</v>
      </c>
      <c r="B707">
        <v>665</v>
      </c>
      <c r="C707">
        <v>669</v>
      </c>
      <c r="D707" s="194">
        <v>1344</v>
      </c>
      <c r="E707" s="194">
        <v>1265</v>
      </c>
      <c r="F707" s="194">
        <v>1281</v>
      </c>
    </row>
    <row r="708" spans="1:6" x14ac:dyDescent="0.4">
      <c r="A708" t="s">
        <v>303</v>
      </c>
    </row>
    <row r="710" spans="1:6" x14ac:dyDescent="0.4">
      <c r="A710" t="s">
        <v>245</v>
      </c>
      <c r="B710" s="194"/>
      <c r="C710" s="194"/>
      <c r="D710" s="194"/>
      <c r="E710" s="194"/>
      <c r="F710" s="194"/>
    </row>
    <row r="711" spans="1:6" x14ac:dyDescent="0.4">
      <c r="A711" t="s">
        <v>304</v>
      </c>
      <c r="B711" s="194">
        <v>26987</v>
      </c>
      <c r="C711" s="194">
        <v>25727</v>
      </c>
      <c r="D711" s="194">
        <v>26698</v>
      </c>
      <c r="E711" s="194">
        <v>27587</v>
      </c>
      <c r="F711" s="194">
        <v>28442</v>
      </c>
    </row>
    <row r="712" spans="1:6" x14ac:dyDescent="0.4">
      <c r="A712" t="s">
        <v>305</v>
      </c>
    </row>
    <row r="714" spans="1:6" x14ac:dyDescent="0.4">
      <c r="A714" t="s">
        <v>304</v>
      </c>
    </row>
    <row r="715" spans="1:6" x14ac:dyDescent="0.4">
      <c r="A715" t="s">
        <v>306</v>
      </c>
      <c r="B715" s="194">
        <v>1932</v>
      </c>
      <c r="C715">
        <v>361</v>
      </c>
      <c r="D715">
        <v>361</v>
      </c>
      <c r="E715">
        <v>361</v>
      </c>
      <c r="F715">
        <v>361</v>
      </c>
    </row>
    <row r="716" spans="1:6" x14ac:dyDescent="0.4">
      <c r="A716" t="s">
        <v>307</v>
      </c>
    </row>
    <row r="718" spans="1:6" x14ac:dyDescent="0.4">
      <c r="A718" t="s">
        <v>306</v>
      </c>
    </row>
    <row r="719" spans="1:6" x14ac:dyDescent="0.4">
      <c r="A719" t="s">
        <v>308</v>
      </c>
    </row>
    <row r="720" spans="1:6" x14ac:dyDescent="0.4">
      <c r="A720" t="s">
        <v>309</v>
      </c>
    </row>
    <row r="722" spans="1:6" x14ac:dyDescent="0.4">
      <c r="A722" t="s">
        <v>74</v>
      </c>
      <c r="B722" s="194"/>
      <c r="D722" s="194"/>
      <c r="E722" s="194"/>
      <c r="F722" s="194"/>
    </row>
    <row r="723" spans="1:6" x14ac:dyDescent="0.4">
      <c r="A723" t="s">
        <v>310</v>
      </c>
      <c r="B723">
        <v>3</v>
      </c>
      <c r="C723">
        <v>3.16</v>
      </c>
      <c r="D723">
        <v>3.02</v>
      </c>
      <c r="E723">
        <v>2.69</v>
      </c>
      <c r="F723">
        <v>2.75</v>
      </c>
    </row>
    <row r="724" spans="1:6" x14ac:dyDescent="0.4">
      <c r="A724" t="s">
        <v>311</v>
      </c>
    </row>
    <row r="726" spans="1:6" x14ac:dyDescent="0.4">
      <c r="A726" t="s">
        <v>84</v>
      </c>
      <c r="B726" s="194"/>
      <c r="C726" s="194"/>
      <c r="D726" s="194"/>
      <c r="E726" s="194"/>
      <c r="F726" s="194"/>
    </row>
    <row r="727" spans="1:6" x14ac:dyDescent="0.4">
      <c r="A727" t="s">
        <v>312</v>
      </c>
      <c r="B727" s="194">
        <v>5969783</v>
      </c>
      <c r="C727" s="194">
        <v>5969783</v>
      </c>
      <c r="D727" s="194">
        <v>5969783</v>
      </c>
      <c r="E727" s="194">
        <v>5969783</v>
      </c>
      <c r="F727" s="194">
        <v>5969783</v>
      </c>
    </row>
    <row r="728" spans="1:6" x14ac:dyDescent="0.4">
      <c r="A728" t="s">
        <v>313</v>
      </c>
      <c r="B728">
        <v>2.39</v>
      </c>
      <c r="C728">
        <v>0.44</v>
      </c>
      <c r="D728">
        <v>0.45</v>
      </c>
      <c r="E728">
        <v>0.49</v>
      </c>
      <c r="F728">
        <v>0.46</v>
      </c>
    </row>
    <row r="729" spans="1:6" x14ac:dyDescent="0.4">
      <c r="A729" t="s">
        <v>314</v>
      </c>
    </row>
    <row r="731" spans="1:6" x14ac:dyDescent="0.4">
      <c r="A731" t="s">
        <v>85</v>
      </c>
    </row>
    <row r="733" spans="1:6" x14ac:dyDescent="0.4">
      <c r="A733" t="s">
        <v>322</v>
      </c>
    </row>
    <row r="734" spans="1:6" x14ac:dyDescent="0.4">
      <c r="A734" t="s">
        <v>323</v>
      </c>
    </row>
    <row r="735" spans="1:6" x14ac:dyDescent="0.4">
      <c r="A735" t="s">
        <v>324</v>
      </c>
    </row>
    <row r="736" spans="1:6" x14ac:dyDescent="0.4">
      <c r="A736" t="s">
        <v>325</v>
      </c>
    </row>
    <row r="737" spans="1:1" x14ac:dyDescent="0.4">
      <c r="A737" t="s">
        <v>326</v>
      </c>
    </row>
    <row r="738" spans="1:1" x14ac:dyDescent="0.4">
      <c r="A738" t="s">
        <v>327</v>
      </c>
    </row>
    <row r="739" spans="1:1" x14ac:dyDescent="0.4">
      <c r="A739" t="s">
        <v>328</v>
      </c>
    </row>
    <row r="741" spans="1:1" x14ac:dyDescent="0.4">
      <c r="A741" t="s">
        <v>329</v>
      </c>
    </row>
    <row r="742" spans="1:1" x14ac:dyDescent="0.4">
      <c r="A742" t="s">
        <v>330</v>
      </c>
    </row>
    <row r="743" spans="1:1" x14ac:dyDescent="0.4">
      <c r="A743" t="s">
        <v>331</v>
      </c>
    </row>
    <row r="745" spans="1:1" x14ac:dyDescent="0.4">
      <c r="A745" t="s">
        <v>332</v>
      </c>
    </row>
    <row r="747" spans="1:1" x14ac:dyDescent="0.4">
      <c r="A747" t="s">
        <v>77</v>
      </c>
    </row>
    <row r="748" spans="1:1" x14ac:dyDescent="0.4">
      <c r="A748" t="s">
        <v>78</v>
      </c>
    </row>
    <row r="749" spans="1:1" x14ac:dyDescent="0.4">
      <c r="A749" t="s">
        <v>79</v>
      </c>
    </row>
    <row r="750" spans="1:1" x14ac:dyDescent="0.4">
      <c r="A750" t="s">
        <v>80</v>
      </c>
    </row>
    <row r="752" spans="1:1" x14ac:dyDescent="0.4">
      <c r="A752" t="s">
        <v>333</v>
      </c>
    </row>
    <row r="753" spans="1:2" x14ac:dyDescent="0.4">
      <c r="A753" t="s">
        <v>334</v>
      </c>
      <c r="B753" t="s">
        <v>334</v>
      </c>
    </row>
    <row r="754" spans="1:2" x14ac:dyDescent="0.4">
      <c r="A754" t="s">
        <v>335</v>
      </c>
      <c r="B754" t="s">
        <v>335</v>
      </c>
    </row>
    <row r="755" spans="1:2" x14ac:dyDescent="0.4">
      <c r="A755" t="s">
        <v>335</v>
      </c>
      <c r="B755" t="s">
        <v>335</v>
      </c>
    </row>
    <row r="756" spans="1:2" x14ac:dyDescent="0.4">
      <c r="A756" t="s">
        <v>335</v>
      </c>
      <c r="B756" t="s">
        <v>335</v>
      </c>
    </row>
    <row r="757" spans="1:2" x14ac:dyDescent="0.4">
      <c r="A757" t="s">
        <v>335</v>
      </c>
      <c r="B757" t="s">
        <v>335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B1:AH46"/>
  <sheetViews>
    <sheetView workbookViewId="0">
      <selection activeCell="D15" sqref="D15"/>
    </sheetView>
  </sheetViews>
  <sheetFormatPr defaultColWidth="9" defaultRowHeight="17.399999999999999" x14ac:dyDescent="0.4"/>
  <cols>
    <col min="1" max="1" width="2.09765625" style="32" customWidth="1"/>
    <col min="2" max="2" width="21.59765625" style="32" customWidth="1"/>
    <col min="3" max="8" width="14.59765625" style="32" customWidth="1"/>
    <col min="9" max="15" width="15.59765625" style="32" customWidth="1"/>
    <col min="16" max="16" width="9" style="32" customWidth="1"/>
    <col min="17" max="16384" width="9" style="32"/>
  </cols>
  <sheetData>
    <row r="1" spans="2:34" ht="16.5" customHeight="1" thickBot="1" x14ac:dyDescent="0.45">
      <c r="B1" s="78" t="s">
        <v>336</v>
      </c>
      <c r="C1" s="206"/>
      <c r="D1" s="207"/>
      <c r="E1" s="208" t="s">
        <v>337</v>
      </c>
      <c r="F1" s="209"/>
      <c r="G1" s="209"/>
      <c r="H1" s="210"/>
    </row>
    <row r="2" spans="2:34" ht="16.5" customHeight="1" thickBot="1" x14ac:dyDescent="0.45"/>
    <row r="3" spans="2:34" ht="16.5" customHeight="1" thickBot="1" x14ac:dyDescent="0.45">
      <c r="B3" s="79" t="s">
        <v>338</v>
      </c>
    </row>
    <row r="4" spans="2:34" ht="16.5" customHeight="1" thickBot="1" x14ac:dyDescent="0.45">
      <c r="B4" s="80" t="s">
        <v>339</v>
      </c>
      <c r="C4" s="81" t="str">
        <f ca="1">Data!B4</f>
        <v>황금에스티</v>
      </c>
      <c r="D4" s="82" t="s">
        <v>340</v>
      </c>
      <c r="E4" s="83">
        <f ca="1">Data!B7</f>
        <v>17000000</v>
      </c>
      <c r="F4" s="84"/>
      <c r="G4" s="84"/>
      <c r="H4" s="85"/>
    </row>
    <row r="5" spans="2:34" x14ac:dyDescent="0.4">
      <c r="B5" s="86" t="s">
        <v>341</v>
      </c>
      <c r="C5" s="87">
        <f ca="1">Data!B5</f>
        <v>6080</v>
      </c>
      <c r="D5" s="88" t="s">
        <v>342</v>
      </c>
      <c r="E5" s="89">
        <f ca="1">Data!C7</f>
        <v>0</v>
      </c>
      <c r="H5" s="90"/>
    </row>
    <row r="6" spans="2:34" x14ac:dyDescent="0.4">
      <c r="B6" s="86" t="s">
        <v>343</v>
      </c>
      <c r="C6" s="91">
        <f ca="1">Data!B6</f>
        <v>0.35227999999999998</v>
      </c>
      <c r="D6" s="88" t="s">
        <v>344</v>
      </c>
      <c r="E6" s="89">
        <f ca="1">Data!B8</f>
        <v>11218</v>
      </c>
      <c r="H6" s="90"/>
      <c r="AD6" s="32" t="s">
        <v>345</v>
      </c>
      <c r="AE6" s="32" t="s">
        <v>346</v>
      </c>
      <c r="AF6" s="3">
        <f ca="1">G24</f>
        <v>4.2564441506939853E-2</v>
      </c>
      <c r="AH6" s="32" t="s">
        <v>347</v>
      </c>
    </row>
    <row r="7" spans="2:34" x14ac:dyDescent="0.4">
      <c r="B7" s="92"/>
      <c r="H7" s="90"/>
      <c r="AD7" s="32" t="s">
        <v>348</v>
      </c>
      <c r="AE7" s="32" t="s">
        <v>349</v>
      </c>
      <c r="AF7" s="3" t="str">
        <f>E24</f>
        <v>컨센 없음</v>
      </c>
      <c r="AH7" s="32" t="s">
        <v>350</v>
      </c>
    </row>
    <row r="8" spans="2:34" x14ac:dyDescent="0.4">
      <c r="B8" s="93" t="s">
        <v>208</v>
      </c>
      <c r="H8" s="90"/>
      <c r="AE8" s="32" t="s">
        <v>351</v>
      </c>
      <c r="AF8" s="3">
        <f ca="1">F24</f>
        <v>6.7216666666666661E-2</v>
      </c>
    </row>
    <row r="9" spans="2:34" x14ac:dyDescent="0.4">
      <c r="B9" s="203" t="str">
        <f ca="1">Data!A11</f>
        <v>반도체 호조로 사상 최대 분기 실적</v>
      </c>
      <c r="C9" s="204"/>
      <c r="D9" s="204"/>
      <c r="E9" s="204"/>
      <c r="F9" s="204"/>
      <c r="G9" s="204"/>
      <c r="H9" s="205"/>
      <c r="AE9" s="32" t="s">
        <v>352</v>
      </c>
      <c r="AF9" s="3">
        <f ca="1">H22</f>
        <v>4.2564441506939853E-2</v>
      </c>
    </row>
    <row r="10" spans="2:34" ht="69.900000000000006" customHeight="1" x14ac:dyDescent="0.4">
      <c r="B10" s="214" t="str">
        <f ca="1">Data!A12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C10" s="204"/>
      <c r="D10" s="204"/>
      <c r="E10" s="204"/>
      <c r="F10" s="204"/>
      <c r="G10" s="204"/>
      <c r="H10" s="205"/>
      <c r="AE10" s="32" t="s">
        <v>353</v>
      </c>
      <c r="AF10" s="3">
        <f>H24</f>
        <v>0.13</v>
      </c>
    </row>
    <row r="11" spans="2:34" ht="69.900000000000006" customHeight="1" thickBot="1" x14ac:dyDescent="0.45">
      <c r="B11" s="211" t="str">
        <f ca="1">Data!A13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C11" s="212"/>
      <c r="D11" s="212"/>
      <c r="E11" s="212"/>
      <c r="F11" s="212"/>
      <c r="G11" s="212"/>
      <c r="H11" s="213"/>
    </row>
    <row r="12" spans="2:34" ht="16.5" customHeight="1" thickBot="1" x14ac:dyDescent="0.45"/>
    <row r="13" spans="2:34" ht="16.5" customHeight="1" thickBot="1" x14ac:dyDescent="0.45">
      <c r="B13" s="79" t="s">
        <v>354</v>
      </c>
      <c r="C13" s="84"/>
      <c r="D13" s="85"/>
      <c r="E13" s="84"/>
      <c r="F13" s="84"/>
      <c r="G13" s="84"/>
      <c r="H13" s="85"/>
    </row>
    <row r="14" spans="2:34" x14ac:dyDescent="0.4">
      <c r="B14" s="94" t="s">
        <v>355</v>
      </c>
      <c r="C14" s="95" t="s">
        <v>345</v>
      </c>
      <c r="D14" s="96">
        <v>0.1026</v>
      </c>
      <c r="E14" s="84"/>
      <c r="F14" s="84"/>
      <c r="G14" s="84"/>
      <c r="H14" s="85"/>
    </row>
    <row r="15" spans="2:34" x14ac:dyDescent="0.4">
      <c r="B15" s="86" t="s">
        <v>356</v>
      </c>
      <c r="C15" s="97">
        <v>1.52E-2</v>
      </c>
      <c r="D15" s="90"/>
      <c r="H15" s="90"/>
    </row>
    <row r="16" spans="2:34" ht="16.5" customHeight="1" thickBot="1" x14ac:dyDescent="0.45">
      <c r="B16" s="98" t="s">
        <v>357</v>
      </c>
      <c r="C16" s="99">
        <v>6.5699999999999995E-2</v>
      </c>
      <c r="D16" s="90"/>
      <c r="H16" s="90"/>
    </row>
    <row r="17" spans="2:14" ht="16.5" customHeight="1" thickBot="1" x14ac:dyDescent="0.45">
      <c r="B17" s="100" t="s">
        <v>358</v>
      </c>
      <c r="C17" s="101">
        <f>IF(C14="적용",D14,C15+C16*C6)</f>
        <v>0.1026</v>
      </c>
      <c r="D17" s="90"/>
      <c r="H17" s="90"/>
    </row>
    <row r="18" spans="2:14" ht="16.5" customHeight="1" thickBot="1" x14ac:dyDescent="0.45">
      <c r="B18" s="102" t="s">
        <v>359</v>
      </c>
      <c r="C18" s="103" t="s">
        <v>360</v>
      </c>
      <c r="D18" s="104"/>
      <c r="H18" s="90"/>
    </row>
    <row r="19" spans="2:14" ht="16.5" customHeight="1" thickBot="1" x14ac:dyDescent="0.45">
      <c r="B19" s="92"/>
      <c r="H19" s="90"/>
    </row>
    <row r="20" spans="2:14" ht="16.5" customHeight="1" thickBot="1" x14ac:dyDescent="0.45">
      <c r="B20" s="79" t="s">
        <v>361</v>
      </c>
      <c r="C20" s="105" t="s">
        <v>351</v>
      </c>
      <c r="D20" s="106">
        <f ca="1">VLOOKUP(C20,AE6:AF10,2,FALSE)</f>
        <v>6.7216666666666661E-2</v>
      </c>
      <c r="E20" s="198" t="str">
        <f>IF(I20="연도오류","연도 오류 - 모두 지우기 실행하세요(사용법 시트 참조)","")</f>
        <v/>
      </c>
      <c r="H20" s="90"/>
      <c r="I20" s="115" t="str">
        <f>IF(Data!B26&lt;2000,"연도오류","")</f>
        <v/>
      </c>
    </row>
    <row r="21" spans="2:14" x14ac:dyDescent="0.4">
      <c r="B21" s="107" t="s">
        <v>362</v>
      </c>
      <c r="C21" s="108">
        <f>Data!B25</f>
        <v>44166</v>
      </c>
      <c r="D21" s="109">
        <f>Data!C25</f>
        <v>44531</v>
      </c>
      <c r="E21" s="110">
        <f>Data!D25</f>
        <v>44896</v>
      </c>
      <c r="F21" s="111">
        <f>Data!E25</f>
        <v>45261</v>
      </c>
      <c r="G21" s="111">
        <f>Data!F25</f>
        <v>45627</v>
      </c>
      <c r="H21" s="112" t="str">
        <f ca="1">"최근 4분기("&amp;TEXT(Data!F50,"yy/mm")&amp;")"</f>
        <v>최근 4분기(25/12)</v>
      </c>
      <c r="I21" s="113" t="str">
        <f ca="1">IF(H22="분기자료부족",IF(F22&gt;E22,IF(G22&gt;F22,"상승추세",""),""),IF(F22&gt;E22,IF(H22&gt;F22,"상승추세",""),""))</f>
        <v/>
      </c>
      <c r="J21" s="114">
        <f ca="1">Data!K50</f>
        <v>12</v>
      </c>
      <c r="K21" s="115">
        <f>MONTH(G21)</f>
        <v>12</v>
      </c>
      <c r="L21" s="116">
        <f ca="1">MOD(J21+12-K21,12)/6</f>
        <v>0</v>
      </c>
      <c r="M21" s="116">
        <f ca="1">L21+4</f>
        <v>4</v>
      </c>
      <c r="N21" s="117">
        <f ca="1">MOD(J21+12-K21,12)</f>
        <v>0</v>
      </c>
    </row>
    <row r="22" spans="2:14" ht="16.5" customHeight="1" thickBot="1" x14ac:dyDescent="0.45">
      <c r="B22" s="118" t="s">
        <v>249</v>
      </c>
      <c r="C22" s="119">
        <f>Data!B40</f>
        <v>6.4600000000000005E-2</v>
      </c>
      <c r="D22" s="120">
        <f>Data!C40</f>
        <v>0.1057</v>
      </c>
      <c r="E22" s="121">
        <f>Data!D40</f>
        <v>0.1283</v>
      </c>
      <c r="F22" s="122">
        <f>Data!E40</f>
        <v>7.0000000000000007E-2</v>
      </c>
      <c r="G22" s="122">
        <f>Data!F40</f>
        <v>4.4999999999999998E-2</v>
      </c>
      <c r="H22" s="123">
        <f ca="1">Data!K78</f>
        <v>4.2564441506939853E-2</v>
      </c>
      <c r="I22" s="113" t="str">
        <f ca="1">IF(H22="분기자료부족",IF(F22&lt;E22,IF(G22&lt;F22,"하락추세",""),""),IF(F22&lt;E22,IF(H22&lt;F22,"하락추세",""),""))</f>
        <v>하락추세</v>
      </c>
      <c r="J22" s="191" t="str">
        <f ca="1">IF(H22="분기자료부족",IF(I21="상승추세",G22,IF(I22="하락추세",G22,F24)),"")</f>
        <v/>
      </c>
    </row>
    <row r="23" spans="2:14" x14ac:dyDescent="0.4">
      <c r="B23" s="124" t="s">
        <v>349</v>
      </c>
      <c r="C23" s="110">
        <f>DATE(Data!G26,12,31)</f>
        <v>46022</v>
      </c>
      <c r="D23" s="111">
        <f>DATE(Data!H26,12,31)</f>
        <v>46387</v>
      </c>
      <c r="E23" s="125">
        <f>DATE(Data!I26,12,31)</f>
        <v>46752</v>
      </c>
      <c r="F23" s="126" t="s">
        <v>351</v>
      </c>
      <c r="G23" s="127" t="s">
        <v>346</v>
      </c>
      <c r="H23" s="128" t="s">
        <v>353</v>
      </c>
    </row>
    <row r="24" spans="2:14" ht="16.5" customHeight="1" thickBot="1" x14ac:dyDescent="0.45">
      <c r="B24" s="129" t="s">
        <v>249</v>
      </c>
      <c r="C24" s="130" t="str">
        <f>IF(Data!G40="","컨센 없음",Data!G40)</f>
        <v>컨센 없음</v>
      </c>
      <c r="D24" s="122" t="str">
        <f>IF(Data!H40="","컨센 없음",Data!H40)</f>
        <v>컨센 없음</v>
      </c>
      <c r="E24" s="123" t="str">
        <f>IF(Data!I40="","컨센 없음",Data!I40)</f>
        <v>컨센 없음</v>
      </c>
      <c r="F24" s="131">
        <f ca="1">IF(H22="분기자료부족",(G22*3+F22*2+E22)/6,IF(N21=0,(G22*3+F22*2+E22)/6,(H22*3+G22*L21+F22)/M21))</f>
        <v>6.7216666666666661E-2</v>
      </c>
      <c r="G24" s="122">
        <f ca="1">IF(E24="컨센 없음",IF(D24="컨센 없음",IF(C24="컨센 없음",IF(H22="분기자료부족",J22,IF(I21="상승추세",H22,IF(I22="하락추세",H22,F24))),C24),D24),E24)</f>
        <v>4.2564441506939853E-2</v>
      </c>
      <c r="H24" s="132">
        <v>0.13</v>
      </c>
    </row>
    <row r="25" spans="2:14" ht="16.5" customHeight="1" thickBot="1" x14ac:dyDescent="0.45">
      <c r="B25" s="92"/>
    </row>
    <row r="26" spans="2:14" ht="16.5" customHeight="1" thickBot="1" x14ac:dyDescent="0.45">
      <c r="B26" s="133" t="s">
        <v>363</v>
      </c>
      <c r="C26" s="105" t="s">
        <v>347</v>
      </c>
      <c r="D26" s="134">
        <v>0.2</v>
      </c>
      <c r="E26" s="84"/>
      <c r="F26" s="84"/>
      <c r="G26" s="85"/>
    </row>
    <row r="27" spans="2:14" x14ac:dyDescent="0.4">
      <c r="B27" s="135" t="s">
        <v>341</v>
      </c>
      <c r="C27" s="136">
        <f ca="1">C5</f>
        <v>6080</v>
      </c>
      <c r="D27" s="137" t="s">
        <v>364</v>
      </c>
      <c r="E27" s="138" t="s">
        <v>365</v>
      </c>
      <c r="F27" s="139" t="s">
        <v>366</v>
      </c>
      <c r="G27" s="140" t="s">
        <v>74</v>
      </c>
    </row>
    <row r="28" spans="2:14" ht="16.5" customHeight="1" thickBot="1" x14ac:dyDescent="0.45">
      <c r="B28" s="141" t="s">
        <v>367</v>
      </c>
      <c r="C28" s="142">
        <f ca="1">IF(F31="정배열",F29,F28)</f>
        <v>18298.444456795904</v>
      </c>
      <c r="D28" s="143">
        <f ca="1">C27/C28-1</f>
        <v>-0.66773131921921736</v>
      </c>
      <c r="E28" s="144" t="s">
        <v>368</v>
      </c>
      <c r="F28" s="145">
        <f ca="1">RIM계산!C11</f>
        <v>18298.444456795904</v>
      </c>
      <c r="G28" s="146">
        <f ca="1">RIM계산!E11</f>
        <v>19.071673853718654</v>
      </c>
    </row>
    <row r="29" spans="2:14" x14ac:dyDescent="0.4">
      <c r="B29" s="147" t="s">
        <v>369</v>
      </c>
      <c r="C29" s="148">
        <f ca="1">IF(C26="초과이익 가정",IF(F31="정배열",F28,F30),C28*(1+D26))</f>
        <v>22589.591747691105</v>
      </c>
      <c r="E29" s="149" t="s">
        <v>370</v>
      </c>
      <c r="F29" s="150">
        <f ca="1">RIM계산!C12</f>
        <v>20966.293596838044</v>
      </c>
      <c r="G29" s="151">
        <f ca="1">RIM계산!E12</f>
        <v>21.852257132802293</v>
      </c>
    </row>
    <row r="30" spans="2:14" x14ac:dyDescent="0.4">
      <c r="B30" s="152" t="s">
        <v>371</v>
      </c>
      <c r="C30" s="153">
        <f ca="1">IF(C26="초과이익 가정",IF(F31="정배열",F30,F28),C28*(1-D26))</f>
        <v>18298.444456795904</v>
      </c>
      <c r="E30" s="149" t="s">
        <v>372</v>
      </c>
      <c r="F30" s="154">
        <f ca="1">RIM계산!C13</f>
        <v>22589.591747691105</v>
      </c>
      <c r="G30" s="155">
        <f ca="1">RIM계산!E13</f>
        <v>23.544150286535164</v>
      </c>
    </row>
    <row r="31" spans="2:14" ht="16.5" customHeight="1" thickBot="1" x14ac:dyDescent="0.45">
      <c r="B31" s="156"/>
      <c r="C31" s="157"/>
      <c r="D31" s="157"/>
      <c r="E31" s="157"/>
      <c r="F31" s="158" t="str">
        <f ca="1">IF(F28&gt;F30,"정배열","역배열")</f>
        <v>역배열</v>
      </c>
      <c r="G31" s="159" t="str">
        <f ca="1">IF(F31="정배열","ROE&gt;요구수익","ROE&lt;요구수익")</f>
        <v>ROE&lt;요구수익</v>
      </c>
    </row>
    <row r="32" spans="2:14" ht="16.5" customHeight="1" thickBot="1" x14ac:dyDescent="0.45"/>
    <row r="33" spans="2:8" x14ac:dyDescent="0.4">
      <c r="B33" s="160" t="s">
        <v>373</v>
      </c>
      <c r="C33" s="108">
        <f>C21</f>
        <v>44166</v>
      </c>
      <c r="D33" s="108">
        <f>D21</f>
        <v>44531</v>
      </c>
      <c r="E33" s="108">
        <f>E21</f>
        <v>44896</v>
      </c>
      <c r="F33" s="108">
        <f>F21</f>
        <v>45261</v>
      </c>
      <c r="G33" s="108">
        <f>G21</f>
        <v>45627</v>
      </c>
      <c r="H33" s="161" t="s">
        <v>374</v>
      </c>
    </row>
    <row r="34" spans="2:8" x14ac:dyDescent="0.4">
      <c r="B34" s="118" t="s">
        <v>375</v>
      </c>
      <c r="C34" s="162">
        <f>Data!B43</f>
        <v>83</v>
      </c>
      <c r="D34" s="162">
        <f>Data!C43</f>
        <v>189</v>
      </c>
      <c r="E34" s="162">
        <f>Data!D43</f>
        <v>200</v>
      </c>
      <c r="F34" s="162">
        <f>Data!E43</f>
        <v>150</v>
      </c>
      <c r="G34" s="162">
        <f>Data!F43</f>
        <v>150</v>
      </c>
      <c r="H34" s="163">
        <f>Data!G43</f>
        <v>0</v>
      </c>
    </row>
    <row r="35" spans="2:8" x14ac:dyDescent="0.4">
      <c r="B35" s="164" t="s">
        <v>85</v>
      </c>
      <c r="C35" s="165">
        <f>Data!B44</f>
        <v>1.24E-2</v>
      </c>
      <c r="D35" s="165">
        <f>Data!C44</f>
        <v>2.3699999999999999E-2</v>
      </c>
      <c r="E35" s="165">
        <f>Data!D44</f>
        <v>2.87E-2</v>
      </c>
      <c r="F35" s="165">
        <f>Data!E44</f>
        <v>2.1000000000000001E-2</v>
      </c>
      <c r="G35" s="165">
        <f>Data!F44</f>
        <v>3.1E-2</v>
      </c>
      <c r="H35" s="77">
        <f ca="1">H34/C27</f>
        <v>0</v>
      </c>
    </row>
    <row r="36" spans="2:8" x14ac:dyDescent="0.4">
      <c r="B36" s="118" t="str">
        <f ca="1">Data!A39</f>
        <v>ROA(%)</v>
      </c>
      <c r="C36" s="6">
        <f ca="1">Data!B39</f>
        <v>4.7400000000000005E-2</v>
      </c>
      <c r="D36" s="6">
        <f ca="1">Data!C39</f>
        <v>7.46E-2</v>
      </c>
      <c r="E36" s="6">
        <f ca="1">Data!D39</f>
        <v>0.1013</v>
      </c>
      <c r="F36" s="6">
        <f ca="1">Data!E39</f>
        <v>5.9800000000000006E-2</v>
      </c>
      <c r="G36" s="6">
        <f ca="1">Data!F39</f>
        <v>3.8300000000000001E-2</v>
      </c>
      <c r="H36" s="166">
        <f ca="1">Data!G39</f>
        <v>0.1017</v>
      </c>
    </row>
    <row r="37" spans="2:8" x14ac:dyDescent="0.4">
      <c r="B37" s="118" t="str">
        <f ca="1">Data!A41</f>
        <v>EPS(원)</v>
      </c>
      <c r="C37" s="71">
        <f>Data!B41</f>
        <v>986</v>
      </c>
      <c r="D37" s="71">
        <f>Data!C41</f>
        <v>1755</v>
      </c>
      <c r="E37" s="71">
        <f>Data!D41</f>
        <v>2379</v>
      </c>
      <c r="F37" s="71">
        <f>Data!E41</f>
        <v>1419</v>
      </c>
      <c r="G37" s="71">
        <f>Data!F41</f>
        <v>961</v>
      </c>
      <c r="H37" s="167">
        <f>Data!G41</f>
        <v>0</v>
      </c>
    </row>
    <row r="38" spans="2:8" x14ac:dyDescent="0.4">
      <c r="B38" s="118" t="str">
        <f ca="1">Data!A42</f>
        <v>BPS(원)</v>
      </c>
      <c r="C38" s="71">
        <f>Data!B42</f>
        <v>15769</v>
      </c>
      <c r="D38" s="71">
        <f>Data!C42</f>
        <v>17449</v>
      </c>
      <c r="E38" s="71">
        <f>Data!D42</f>
        <v>19629</v>
      </c>
      <c r="F38" s="71">
        <f>Data!E42</f>
        <v>20938</v>
      </c>
      <c r="G38" s="71">
        <f>Data!F42</f>
        <v>21788</v>
      </c>
      <c r="H38" s="167">
        <f>Data!G42</f>
        <v>0</v>
      </c>
    </row>
    <row r="39" spans="2:8" ht="16.5" customHeight="1" thickBot="1" x14ac:dyDescent="0.45">
      <c r="B39" s="168" t="s">
        <v>376</v>
      </c>
      <c r="C39" s="169">
        <f t="shared" ref="C39:H39" si="0">C34/C38</f>
        <v>5.2634916608535736E-3</v>
      </c>
      <c r="D39" s="169">
        <f t="shared" si="0"/>
        <v>1.083156627886985E-2</v>
      </c>
      <c r="E39" s="169">
        <f t="shared" si="0"/>
        <v>1.0189006062458606E-2</v>
      </c>
      <c r="F39" s="169">
        <f t="shared" si="0"/>
        <v>7.1640080236889869E-3</v>
      </c>
      <c r="G39" s="169">
        <f t="shared" si="0"/>
        <v>6.884523590967505E-3</v>
      </c>
      <c r="H39" s="170" t="e">
        <f t="shared" si="0"/>
        <v>#DIV/0!</v>
      </c>
    </row>
    <row r="40" spans="2:8" ht="16.5" customHeight="1" thickBot="1" x14ac:dyDescent="0.45"/>
    <row r="41" spans="2:8" x14ac:dyDescent="0.4">
      <c r="B41" s="160" t="s">
        <v>235</v>
      </c>
      <c r="C41" s="184" t="str">
        <f>Data!B84</f>
        <v>황금에스티</v>
      </c>
      <c r="D41" s="184" t="str">
        <f ca="1">Data!C84</f>
        <v>코스피 전기,전자</v>
      </c>
      <c r="E41" s="161" t="str">
        <f ca="1">Data!D84</f>
        <v>KOSPI</v>
      </c>
    </row>
    <row r="42" spans="2:8" x14ac:dyDescent="0.4">
      <c r="B42" s="185" t="s">
        <v>249</v>
      </c>
      <c r="C42" s="6">
        <f>Data!B85</f>
        <v>4.4999999999999998E-2</v>
      </c>
      <c r="D42" s="6">
        <f>Data!C85</f>
        <v>1.9099999999999999E-2</v>
      </c>
      <c r="E42" s="166">
        <f>Data!D85</f>
        <v>7.4700000000000003E-2</v>
      </c>
    </row>
    <row r="43" spans="2:8" x14ac:dyDescent="0.4">
      <c r="B43" s="185" t="s">
        <v>74</v>
      </c>
      <c r="C43" s="183">
        <f>Data!B86</f>
        <v>5.04</v>
      </c>
      <c r="D43" s="183">
        <f>Data!C86</f>
        <v>29.1</v>
      </c>
      <c r="E43" s="186">
        <f ca="1">Data!D86</f>
        <v>22.35</v>
      </c>
    </row>
    <row r="44" spans="2:8" ht="16.5" customHeight="1" thickBot="1" x14ac:dyDescent="0.45">
      <c r="B44" s="187" t="s">
        <v>85</v>
      </c>
      <c r="C44" s="188">
        <f>Data!B87</f>
        <v>3.1E-2</v>
      </c>
      <c r="D44" s="188">
        <f>Data!C87</f>
        <v>2.58E-2</v>
      </c>
      <c r="E44" s="189">
        <f>Data!D87</f>
        <v>2.2800000000000001E-2</v>
      </c>
    </row>
    <row r="45" spans="2:8" ht="16.5" customHeight="1" thickBot="1" x14ac:dyDescent="0.45"/>
    <row r="46" spans="2:8" ht="16.5" customHeight="1" thickBot="1" x14ac:dyDescent="0.45">
      <c r="B46" s="171" t="s">
        <v>377</v>
      </c>
    </row>
  </sheetData>
  <mergeCells count="5">
    <mergeCell ref="B9:H9"/>
    <mergeCell ref="C1:D1"/>
    <mergeCell ref="E1:H1"/>
    <mergeCell ref="B11:H11"/>
    <mergeCell ref="B10:H10"/>
  </mergeCells>
  <phoneticPr fontId="2" type="noConversion"/>
  <conditionalFormatting sqref="D14">
    <cfRule type="expression" dxfId="14" priority="16">
      <formula>$C$14="적용"</formula>
    </cfRule>
  </conditionalFormatting>
  <conditionalFormatting sqref="F31:G31">
    <cfRule type="expression" dxfId="13" priority="15">
      <formula>$F$31="역배열"</formula>
    </cfRule>
  </conditionalFormatting>
  <conditionalFormatting sqref="D26">
    <cfRule type="expression" dxfId="12" priority="14">
      <formula>$C$26="할인(할증)률"</formula>
    </cfRule>
  </conditionalFormatting>
  <conditionalFormatting sqref="H24">
    <cfRule type="expression" dxfId="11" priority="12">
      <formula>$C$20="별도값"</formula>
    </cfRule>
  </conditionalFormatting>
  <conditionalFormatting sqref="C35:G35">
    <cfRule type="cellIs" dxfId="10" priority="10" operator="lessThan">
      <formula>0.0001</formula>
    </cfRule>
  </conditionalFormatting>
  <conditionalFormatting sqref="G31">
    <cfRule type="expression" dxfId="9" priority="38">
      <formula>$F$47="역배열"</formula>
    </cfRule>
  </conditionalFormatting>
  <conditionalFormatting sqref="C42">
    <cfRule type="expression" dxfId="8" priority="5">
      <formula>$C$42&gt;MAX($D$42:$E$42)</formula>
    </cfRule>
    <cfRule type="expression" dxfId="7" priority="8">
      <formula>$C$42&lt;MIN($D$42:$E$42)</formula>
    </cfRule>
  </conditionalFormatting>
  <conditionalFormatting sqref="C43">
    <cfRule type="expression" dxfId="6" priority="4">
      <formula>$C$43&lt;MIN($D$43:$E$43)</formula>
    </cfRule>
    <cfRule type="expression" dxfId="5" priority="7">
      <formula>$C$43&gt;MAX($D$43:$E$43)</formula>
    </cfRule>
  </conditionalFormatting>
  <conditionalFormatting sqref="C44">
    <cfRule type="expression" dxfId="4" priority="3">
      <formula>$C$44&gt;MAX($D$44:$E$44)</formula>
    </cfRule>
    <cfRule type="expression" dxfId="3" priority="6">
      <formula>$C$44&lt;MIN($D$44:$E$44)</formula>
    </cfRule>
  </conditionalFormatting>
  <conditionalFormatting sqref="E20:H20">
    <cfRule type="expression" dxfId="2" priority="1">
      <formula>$I$20="연도오류"</formula>
    </cfRule>
  </conditionalFormatting>
  <dataValidations count="3">
    <dataValidation type="list" allowBlank="1" showInputMessage="1" showErrorMessage="1" sqref="C26" xr:uid="{00000000-0002-0000-0200-000000000000}">
      <formula1>$AH$6:$AH$7</formula1>
    </dataValidation>
    <dataValidation type="list" allowBlank="1" showInputMessage="1" showErrorMessage="1" sqref="C20" xr:uid="{00000000-0002-0000-0200-000001000000}">
      <formula1>$AE$6:$AE$10</formula1>
    </dataValidation>
    <dataValidation type="list" allowBlank="1" showInputMessage="1" showErrorMessage="1" sqref="C14" xr:uid="{00000000-0002-0000-0200-000002000000}">
      <formula1>$AD$6:$AD$7</formula1>
    </dataValidation>
  </dataValidations>
  <hyperlinks>
    <hyperlink ref="E1" r:id="rId1" xr:uid="{00000000-0004-0000-0200-000000000000}"/>
    <hyperlink ref="C18" r:id="rId2" xr:uid="{00000000-0004-0000-0200-000001000000}"/>
  </hyperlinks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K87"/>
  <sheetViews>
    <sheetView workbookViewId="0">
      <selection activeCell="G67" sqref="G67"/>
    </sheetView>
  </sheetViews>
  <sheetFormatPr defaultColWidth="9" defaultRowHeight="17.399999999999999" x14ac:dyDescent="0.4"/>
  <cols>
    <col min="1" max="1" width="30.59765625" style="1" customWidth="1"/>
    <col min="2" max="9" width="15.59765625" style="1" customWidth="1"/>
    <col min="10" max="14" width="12.59765625" style="1" customWidth="1"/>
    <col min="15" max="15" width="9" style="1" customWidth="1"/>
    <col min="16" max="16384" width="9" style="1"/>
  </cols>
  <sheetData>
    <row r="2" spans="1:9" x14ac:dyDescent="0.4">
      <c r="A2" s="65" t="s">
        <v>338</v>
      </c>
      <c r="B2" s="64"/>
      <c r="C2" s="64"/>
      <c r="D2" s="64"/>
      <c r="E2" s="64"/>
      <c r="F2" s="64"/>
      <c r="G2" s="64"/>
      <c r="H2" s="64"/>
      <c r="I2" s="64"/>
    </row>
    <row r="3" spans="1:9" s="32" customFormat="1" x14ac:dyDescent="0.4"/>
    <row r="4" spans="1:9" s="32" customFormat="1" x14ac:dyDescent="0.4">
      <c r="A4" s="15" t="s">
        <v>378</v>
      </c>
      <c r="B4" s="15" t="str">
        <f ca="1">OFFSET(INDIRECT(H4),2,0,1,1)</f>
        <v>황금에스티</v>
      </c>
      <c r="F4" s="1" t="s">
        <v>60</v>
      </c>
      <c r="G4" s="32">
        <f>MATCH(F4,FN_Snapshot!A:A,0)</f>
        <v>24</v>
      </c>
      <c r="H4" s="32" t="str">
        <f>"FN_Snapshot!A"&amp;G4</f>
        <v>FN_Snapshot!A24</v>
      </c>
    </row>
    <row r="5" spans="1:9" x14ac:dyDescent="0.4">
      <c r="A5" s="15" t="s">
        <v>105</v>
      </c>
      <c r="B5" s="66">
        <f ca="1">LEFT(I5,SEARCHB("/",I5)-1)*1</f>
        <v>6080</v>
      </c>
      <c r="G5" s="32">
        <f>MATCH(A5,FN_Snapshot!A:A,0)</f>
        <v>114</v>
      </c>
      <c r="H5" s="32" t="str">
        <f>"FN_Snapshot!A"&amp;G5</f>
        <v>FN_Snapshot!A114</v>
      </c>
      <c r="I5" s="32" t="str">
        <f ca="1">OFFSET(INDIRECT(H5),0,1,1,1)</f>
        <v xml:space="preserve">6,080/ </v>
      </c>
    </row>
    <row r="6" spans="1:9" x14ac:dyDescent="0.4">
      <c r="A6" s="15" t="s">
        <v>114</v>
      </c>
      <c r="B6" s="15">
        <f ca="1">I6</f>
        <v>0.35227999999999998</v>
      </c>
      <c r="G6" s="32">
        <f>MATCH(A6,FN_Snapshot!C:C,0)</f>
        <v>117</v>
      </c>
      <c r="H6" s="32" t="str">
        <f>"FN_Snapshot!C"&amp;G6</f>
        <v>FN_Snapshot!C117</v>
      </c>
      <c r="I6" s="32">
        <f ca="1">OFFSET(INDIRECT(H6),0,1,1,1)</f>
        <v>0.35227999999999998</v>
      </c>
    </row>
    <row r="7" spans="1:9" x14ac:dyDescent="0.4">
      <c r="A7" s="15" t="s">
        <v>123</v>
      </c>
      <c r="B7" s="66">
        <f ca="1">LEFT(I7,SEARCHB("/",I7)-1)*1</f>
        <v>17000000</v>
      </c>
      <c r="C7" s="66">
        <f ca="1">RIGHT(I7,LEN(I7)-SEARCHB("/",I7))*1</f>
        <v>0</v>
      </c>
      <c r="G7" s="32">
        <f>MATCH(A7,FN_Snapshot!A:A,0)</f>
        <v>128</v>
      </c>
      <c r="H7" s="32" t="str">
        <f>"FN_Snapshot!A"&amp;G7</f>
        <v>FN_Snapshot!A128</v>
      </c>
      <c r="I7" s="32" t="str">
        <f ca="1">OFFSET(INDIRECT(H7),0,1,1,1)</f>
        <v>17,000,000/ 0</v>
      </c>
    </row>
    <row r="8" spans="1:9" x14ac:dyDescent="0.4">
      <c r="A8" s="15" t="s">
        <v>177</v>
      </c>
      <c r="B8" s="66">
        <f ca="1">I8</f>
        <v>11218</v>
      </c>
      <c r="G8" s="32">
        <f>MATCH(A8,FN_Snapshot!A:A,0)</f>
        <v>185</v>
      </c>
      <c r="H8" s="32" t="str">
        <f>"FN_Snapshot!A"&amp;G8</f>
        <v>FN_Snapshot!A185</v>
      </c>
      <c r="I8" s="32">
        <f ca="1">OFFSET(INDIRECT(H8),0,2,1,1)</f>
        <v>11218</v>
      </c>
    </row>
    <row r="9" spans="1:9" x14ac:dyDescent="0.4">
      <c r="A9" s="32"/>
      <c r="G9" s="32"/>
      <c r="H9" s="32"/>
      <c r="I9" s="32"/>
    </row>
    <row r="10" spans="1:9" x14ac:dyDescent="0.4">
      <c r="A10" s="15" t="s">
        <v>208</v>
      </c>
      <c r="G10" s="32">
        <f>MATCH(A10,FN_Snapshot!A:A,0)</f>
        <v>232</v>
      </c>
      <c r="H10" s="32" t="str">
        <f>"FN_Snapshot!A"&amp;G10</f>
        <v>FN_Snapshot!A232</v>
      </c>
      <c r="I10" s="32"/>
    </row>
    <row r="11" spans="1:9" x14ac:dyDescent="0.4">
      <c r="A11" s="32" t="str">
        <f ca="1">OFFSET(INDIRECT(H$10),4,0,1,1)</f>
        <v>반도체 호조로 사상 최대 분기 실적</v>
      </c>
      <c r="B11" s="32"/>
      <c r="C11" s="32"/>
      <c r="D11" s="32"/>
    </row>
    <row r="12" spans="1:9" x14ac:dyDescent="0.4">
      <c r="A12" s="32" t="str">
        <f ca="1">OFFSET(INDIRECT(H$10),6,0,1,1)</f>
        <v>한국 및 CE, IM부문 해외 9개 지역총괄과 DS부문 해외 5개 지역총괄, Harman 등 234개의 종속기업으로 구성된 글로벌 전자기업임. 세트사업에는 TV, 냉장고 등을 생산하는 CE부문과 스마트폰, 네트워크시스템, 컴퓨터 등을 생산하는 IM부문이 있음. 부품사업(DS부문)에서는 D램, 낸드 플래쉬, 모바일AP 등의 제품을 생산하는 반도체 사업과 TFT-LCD 및 OLED 디스플레이 패널을 생산하는 DP사업으로 구성됨.</v>
      </c>
      <c r="B12" s="32"/>
      <c r="C12" s="32"/>
      <c r="D12" s="32"/>
    </row>
    <row r="13" spans="1:9" x14ac:dyDescent="0.4">
      <c r="A13" s="32" t="str">
        <f ca="1">OFFSET(INDIRECT(H$10),7,0,1,1)</f>
        <v>메모리시장이 호황인 가운데 폴더블폰과 OLED 판매가 늘어나 3분기 매출액은 70조를 넘어서며 사상 최대의 실적을 달성함. 첨단공정 확대와 환율 영향으로 영업이익률도 20%를 넘어섬. 4분기 메모리시장은 당초 예상 대비 부품 수급 이슈 장기화에 따른 수요 리스크 확대가 우려됨. 북미 서버업체들의 반도체 재고가 3분기 대비 30% 이상 축소되며 반도체 재고 소진 속도가 예상을 상회하여 반도체 가격 반등 시점이 앞당겨질 전망임.</v>
      </c>
      <c r="B13" s="32"/>
      <c r="C13" s="32"/>
      <c r="D13" s="32"/>
    </row>
    <row r="15" spans="1:9" x14ac:dyDescent="0.4">
      <c r="A15" s="65" t="s">
        <v>379</v>
      </c>
      <c r="B15" s="64"/>
      <c r="C15" s="64"/>
      <c r="D15" s="64"/>
      <c r="E15" s="64"/>
      <c r="F15" s="64"/>
      <c r="G15" s="64"/>
      <c r="H15" s="64"/>
      <c r="I15" s="64"/>
    </row>
    <row r="16" spans="1:9" x14ac:dyDescent="0.4">
      <c r="A16" s="9" t="s">
        <v>74</v>
      </c>
      <c r="B16" s="9">
        <f t="shared" ref="B16:B21" ca="1" si="0">I16</f>
        <v>5.04</v>
      </c>
      <c r="G16" s="32">
        <f>MATCH(A16,FN_Snapshot!A:A,0)</f>
        <v>51</v>
      </c>
      <c r="H16" s="32" t="str">
        <f t="shared" ref="H16:H21" si="1">"FN_Snapshot!A"&amp;G16</f>
        <v>FN_Snapshot!A51</v>
      </c>
      <c r="I16" s="32">
        <f ca="1">OFFSET(INDIRECT(H16),1,0,1,1)</f>
        <v>5.04</v>
      </c>
    </row>
    <row r="17" spans="1:9" x14ac:dyDescent="0.4">
      <c r="A17" s="9" t="s">
        <v>75</v>
      </c>
      <c r="B17" s="9">
        <f t="shared" ca="1" si="0"/>
        <v>10.55</v>
      </c>
      <c r="G17" s="32">
        <f>MATCH(A17,FN_Snapshot!A:A,0)</f>
        <v>54</v>
      </c>
      <c r="H17" s="32" t="str">
        <f t="shared" si="1"/>
        <v>FN_Snapshot!A54</v>
      </c>
      <c r="I17" s="32">
        <f ca="1">OFFSET(INDIRECT(H17),3,0,1,1)</f>
        <v>10.55</v>
      </c>
    </row>
    <row r="18" spans="1:9" x14ac:dyDescent="0.4">
      <c r="A18" s="9" t="s">
        <v>77</v>
      </c>
      <c r="B18" s="9">
        <f t="shared" ca="1" si="0"/>
        <v>29.1</v>
      </c>
      <c r="G18" s="32">
        <f>MATCH(A18,FN_Snapshot!A:A,0)</f>
        <v>59</v>
      </c>
      <c r="H18" s="32" t="str">
        <f t="shared" si="1"/>
        <v>FN_Snapshot!A59</v>
      </c>
      <c r="I18" s="32">
        <f ca="1">OFFSET(INDIRECT(H18),5,0,1,1)</f>
        <v>29.1</v>
      </c>
    </row>
    <row r="19" spans="1:9" x14ac:dyDescent="0.4">
      <c r="A19" s="9" t="s">
        <v>247</v>
      </c>
      <c r="B19" s="9">
        <f t="shared" ca="1" si="0"/>
        <v>4.4400000000000004</v>
      </c>
      <c r="G19" s="32">
        <f>MATCH(A19,FN_Snapshot!A:A,0)</f>
        <v>286</v>
      </c>
      <c r="H19" s="32" t="str">
        <f t="shared" si="1"/>
        <v>FN_Snapshot!A286</v>
      </c>
      <c r="I19" s="32">
        <f ca="1">OFFSET(INDIRECT(H19),0,1,1,1)</f>
        <v>4.4400000000000004</v>
      </c>
    </row>
    <row r="20" spans="1:9" x14ac:dyDescent="0.4">
      <c r="A20" s="9" t="s">
        <v>84</v>
      </c>
      <c r="B20" s="9">
        <f t="shared" ca="1" si="0"/>
        <v>0.22</v>
      </c>
      <c r="G20" s="32">
        <f>MATCH(A20,FN_Snapshot!A:A,0)</f>
        <v>70</v>
      </c>
      <c r="H20" s="32" t="str">
        <f t="shared" si="1"/>
        <v>FN_Snapshot!A70</v>
      </c>
      <c r="I20" s="32">
        <f ca="1">OFFSET(INDIRECT(H20),1,0,1,1)</f>
        <v>0.22</v>
      </c>
    </row>
    <row r="21" spans="1:9" x14ac:dyDescent="0.4">
      <c r="A21" s="9" t="s">
        <v>85</v>
      </c>
      <c r="B21" s="69">
        <f t="shared" ca="1" si="0"/>
        <v>3.1E-2</v>
      </c>
      <c r="G21" s="32">
        <f>MATCH(A21,FN_Snapshot!A:A,0)</f>
        <v>73</v>
      </c>
      <c r="H21" s="32" t="str">
        <f t="shared" si="1"/>
        <v>FN_Snapshot!A73</v>
      </c>
      <c r="I21" s="67">
        <f ca="1">OFFSET(INDIRECT(H21),4,0,1,1)</f>
        <v>3.1E-2</v>
      </c>
    </row>
    <row r="23" spans="1:9" x14ac:dyDescent="0.4">
      <c r="A23" s="65" t="s">
        <v>265</v>
      </c>
      <c r="B23" s="64"/>
      <c r="C23" s="64"/>
      <c r="D23" s="64"/>
      <c r="E23" s="64"/>
      <c r="F23" s="64"/>
      <c r="G23" s="64"/>
      <c r="H23" s="64"/>
      <c r="I23" s="64"/>
    </row>
    <row r="24" spans="1:9" x14ac:dyDescent="0.4">
      <c r="F24" s="1" t="s">
        <v>314</v>
      </c>
      <c r="G24" s="32">
        <f>MATCH(F24,FN_Snapshot!A:A,0)</f>
        <v>406</v>
      </c>
      <c r="H24" s="32" t="str">
        <f>"FN_Snapshot!A"&amp;G24</f>
        <v>FN_Snapshot!A406</v>
      </c>
      <c r="I24" s="32" t="str">
        <f ca="1">OFFSET(INDIRECT($H$24),3,0,1,1)</f>
        <v>Financial Highlight</v>
      </c>
    </row>
    <row r="25" spans="1:9" x14ac:dyDescent="0.4">
      <c r="B25" s="70">
        <v>44166</v>
      </c>
      <c r="C25" s="70">
        <v>44531</v>
      </c>
      <c r="D25" s="70">
        <v>44896</v>
      </c>
      <c r="E25" s="70">
        <v>45261</v>
      </c>
      <c r="F25" s="70">
        <v>45627</v>
      </c>
      <c r="G25" s="202">
        <v>45992</v>
      </c>
      <c r="H25" s="202">
        <v>46357</v>
      </c>
      <c r="I25" s="202">
        <v>46722</v>
      </c>
    </row>
    <row r="26" spans="1:9" x14ac:dyDescent="0.4">
      <c r="A26" s="1" t="s">
        <v>269</v>
      </c>
      <c r="B26" s="9">
        <v>2020</v>
      </c>
      <c r="C26" s="9">
        <v>2021</v>
      </c>
      <c r="D26" s="9">
        <v>2022</v>
      </c>
      <c r="E26" s="9">
        <v>2023</v>
      </c>
      <c r="F26" s="9">
        <v>2024</v>
      </c>
      <c r="G26" s="15">
        <v>2025</v>
      </c>
      <c r="H26" s="15">
        <v>2026</v>
      </c>
      <c r="I26" s="15">
        <v>2027</v>
      </c>
    </row>
    <row r="27" spans="1:9" x14ac:dyDescent="0.4">
      <c r="A27" s="72" t="str">
        <f t="shared" ref="A27:A38" ca="1" si="2">OFFSET(INDIRECT($H$24),ROW()-18,COLUMN()-1,1,1)</f>
        <v>매출액</v>
      </c>
      <c r="B27" s="71">
        <v>2395</v>
      </c>
      <c r="C27" s="71">
        <v>2710</v>
      </c>
      <c r="D27" s="71">
        <v>3334</v>
      </c>
      <c r="E27" s="71">
        <v>3551</v>
      </c>
      <c r="F27" s="71">
        <v>3211</v>
      </c>
      <c r="G27" s="71"/>
      <c r="H27" s="71"/>
      <c r="I27" s="71"/>
    </row>
    <row r="28" spans="1:9" x14ac:dyDescent="0.4">
      <c r="A28" s="72" t="str">
        <f t="shared" ca="1" si="2"/>
        <v>영업이익</v>
      </c>
      <c r="B28" s="71">
        <v>238</v>
      </c>
      <c r="C28" s="71">
        <v>412</v>
      </c>
      <c r="D28" s="71">
        <v>465</v>
      </c>
      <c r="E28" s="71">
        <v>293</v>
      </c>
      <c r="F28" s="71">
        <v>194</v>
      </c>
      <c r="G28" s="71"/>
      <c r="H28" s="71"/>
      <c r="I28" s="71"/>
    </row>
    <row r="29" spans="1:9" x14ac:dyDescent="0.4">
      <c r="A29" s="72" t="str">
        <f t="shared" ca="1" si="2"/>
        <v>영업이익(발표기준)</v>
      </c>
      <c r="B29" s="71">
        <v>238</v>
      </c>
      <c r="C29" s="71">
        <v>412</v>
      </c>
      <c r="D29" s="71">
        <v>465</v>
      </c>
      <c r="E29" s="71">
        <v>293</v>
      </c>
      <c r="F29" s="71">
        <v>194</v>
      </c>
      <c r="G29" s="71" t="str">
        <f ca="1">IF(OFFSET(INDIRECT($H$24),ROW()-18,COLUMN()-1,1,1)=0,"",OFFSET(INDIRECT($H$24),ROW()-18,COLUMN()-1,1,1))</f>
        <v/>
      </c>
      <c r="H29" s="71" t="str">
        <f ca="1">IF(OFFSET(INDIRECT($H$24),ROW()-18,COLUMN()-1,1,1)=0,"",OFFSET(INDIRECT($H$24),ROW()-18,COLUMN()-1,1,1))</f>
        <v/>
      </c>
      <c r="I29" s="71" t="str">
        <f ca="1">IF(OFFSET(INDIRECT($H$24),ROW()-18,COLUMN()-1,1,1)=0,"",OFFSET(INDIRECT($H$24),ROW()-18,COLUMN()-1,1,1))</f>
        <v/>
      </c>
    </row>
    <row r="30" spans="1:9" x14ac:dyDescent="0.4">
      <c r="A30" s="72" t="str">
        <f t="shared" ca="1" si="2"/>
        <v>당기순이익</v>
      </c>
      <c r="B30" s="71">
        <v>200</v>
      </c>
      <c r="C30" s="71">
        <v>330</v>
      </c>
      <c r="D30" s="71">
        <v>462</v>
      </c>
      <c r="E30" s="71">
        <v>298</v>
      </c>
      <c r="F30" s="71">
        <v>199</v>
      </c>
      <c r="G30" s="71"/>
      <c r="H30" s="71"/>
      <c r="I30" s="71"/>
    </row>
    <row r="31" spans="1:9" x14ac:dyDescent="0.4">
      <c r="A31" s="73" t="str">
        <f t="shared" ca="1" si="2"/>
        <v>  지배주주순이익</v>
      </c>
      <c r="B31" s="74">
        <v>168</v>
      </c>
      <c r="C31" s="74">
        <v>298</v>
      </c>
      <c r="D31" s="74">
        <v>404</v>
      </c>
      <c r="E31" s="74">
        <v>241</v>
      </c>
      <c r="F31" s="74">
        <v>163</v>
      </c>
      <c r="G31" s="74"/>
      <c r="H31" s="74"/>
      <c r="I31" s="74"/>
    </row>
    <row r="32" spans="1:9" x14ac:dyDescent="0.4">
      <c r="A32" s="72" t="str">
        <f t="shared" ca="1" si="2"/>
        <v>  비지배주주순이익</v>
      </c>
      <c r="B32" s="71">
        <v>32</v>
      </c>
      <c r="C32" s="71">
        <v>31</v>
      </c>
      <c r="D32" s="71">
        <v>58</v>
      </c>
      <c r="E32" s="71">
        <v>56</v>
      </c>
      <c r="F32" s="71">
        <v>35</v>
      </c>
      <c r="G32" s="71" t="str">
        <f t="shared" ref="G32:I35" ca="1" si="3">IF(OFFSET(INDIRECT($H$24),ROW()-18,COLUMN()-1,1,1)=0,"",OFFSET(INDIRECT($H$24),ROW()-18,COLUMN()-1,1,1))</f>
        <v/>
      </c>
      <c r="H32" s="71" t="str">
        <f t="shared" ca="1" si="3"/>
        <v/>
      </c>
      <c r="I32" s="71" t="str">
        <f t="shared" ca="1" si="3"/>
        <v/>
      </c>
    </row>
    <row r="33" spans="1:9" x14ac:dyDescent="0.4">
      <c r="A33" s="72" t="str">
        <f t="shared" ca="1" si="2"/>
        <v>자산총계</v>
      </c>
      <c r="B33" s="71">
        <v>4523</v>
      </c>
      <c r="C33" s="71">
        <v>4316</v>
      </c>
      <c r="D33" s="71">
        <v>4819</v>
      </c>
      <c r="E33" s="71">
        <v>5135</v>
      </c>
      <c r="F33" s="71">
        <v>5226</v>
      </c>
      <c r="G33" s="71">
        <f t="shared" ca="1" si="3"/>
        <v>4561023</v>
      </c>
      <c r="H33" s="71">
        <f t="shared" ca="1" si="3"/>
        <v>4996128</v>
      </c>
      <c r="I33" s="71" t="str">
        <f t="shared" ca="1" si="3"/>
        <v/>
      </c>
    </row>
    <row r="34" spans="1:9" x14ac:dyDescent="0.4">
      <c r="A34" s="72" t="str">
        <f t="shared" ca="1" si="2"/>
        <v>부채총계</v>
      </c>
      <c r="B34" s="71">
        <v>1502</v>
      </c>
      <c r="C34" s="71">
        <v>991</v>
      </c>
      <c r="D34" s="71">
        <v>1085</v>
      </c>
      <c r="E34" s="71">
        <v>1127</v>
      </c>
      <c r="F34" s="71">
        <v>1050</v>
      </c>
      <c r="G34" s="71">
        <f t="shared" ca="1" si="3"/>
        <v>1194703</v>
      </c>
      <c r="H34" s="71">
        <f t="shared" ca="1" si="3"/>
        <v>1240494</v>
      </c>
      <c r="I34" s="71" t="str">
        <f t="shared" ca="1" si="3"/>
        <v/>
      </c>
    </row>
    <row r="35" spans="1:9" x14ac:dyDescent="0.4">
      <c r="A35" s="72" t="str">
        <f t="shared" ca="1" si="2"/>
        <v>자본총계</v>
      </c>
      <c r="B35" s="71">
        <v>3021</v>
      </c>
      <c r="C35" s="71">
        <v>3325</v>
      </c>
      <c r="D35" s="71">
        <v>3734</v>
      </c>
      <c r="E35" s="71">
        <v>4009</v>
      </c>
      <c r="F35" s="71">
        <v>4175</v>
      </c>
      <c r="G35" s="71">
        <f t="shared" ca="1" si="3"/>
        <v>3366321</v>
      </c>
      <c r="H35" s="71">
        <f t="shared" ca="1" si="3"/>
        <v>3755639</v>
      </c>
      <c r="I35" s="71" t="str">
        <f t="shared" ca="1" si="3"/>
        <v/>
      </c>
    </row>
    <row r="36" spans="1:9" x14ac:dyDescent="0.4">
      <c r="A36" s="73" t="str">
        <f t="shared" ca="1" si="2"/>
        <v>  지배주주지분</v>
      </c>
      <c r="B36" s="74">
        <v>2680</v>
      </c>
      <c r="C36" s="74">
        <v>2966</v>
      </c>
      <c r="D36" s="74">
        <v>3336</v>
      </c>
      <c r="E36" s="74">
        <v>3558</v>
      </c>
      <c r="F36" s="74">
        <v>3703</v>
      </c>
      <c r="G36" s="74"/>
      <c r="H36" s="74"/>
      <c r="I36" s="74"/>
    </row>
    <row r="37" spans="1:9" x14ac:dyDescent="0.4">
      <c r="A37" s="72" t="str">
        <f t="shared" ca="1" si="2"/>
        <v>  비지배주주지분</v>
      </c>
      <c r="B37" s="71">
        <v>340</v>
      </c>
      <c r="C37" s="71">
        <v>359</v>
      </c>
      <c r="D37" s="71">
        <v>398</v>
      </c>
      <c r="E37" s="71">
        <v>450</v>
      </c>
      <c r="F37" s="71">
        <v>472</v>
      </c>
      <c r="G37" s="71">
        <f t="shared" ref="G37:I38" ca="1" si="4">IF(OFFSET(INDIRECT($H$24),ROW()-18,COLUMN()-1,1,1)=0,"",OFFSET(INDIRECT($H$24),ROW()-18,COLUMN()-1,1,1))</f>
        <v>99222</v>
      </c>
      <c r="H37" s="71">
        <f t="shared" ca="1" si="4"/>
        <v>111326</v>
      </c>
      <c r="I37" s="71" t="str">
        <f t="shared" ca="1" si="4"/>
        <v/>
      </c>
    </row>
    <row r="38" spans="1:9" x14ac:dyDescent="0.4">
      <c r="A38" s="72" t="str">
        <f t="shared" ca="1" si="2"/>
        <v>자본금</v>
      </c>
      <c r="B38" s="71">
        <v>70</v>
      </c>
      <c r="C38" s="71">
        <v>80</v>
      </c>
      <c r="D38" s="71">
        <v>85</v>
      </c>
      <c r="E38" s="71">
        <v>85</v>
      </c>
      <c r="F38" s="71">
        <v>85</v>
      </c>
      <c r="G38" s="71">
        <f t="shared" ca="1" si="4"/>
        <v>8979</v>
      </c>
      <c r="H38" s="71">
        <f t="shared" ca="1" si="4"/>
        <v>8979</v>
      </c>
      <c r="I38" s="71" t="str">
        <f t="shared" ca="1" si="4"/>
        <v/>
      </c>
    </row>
    <row r="39" spans="1:9" ht="16.5" customHeight="1" x14ac:dyDescent="0.4">
      <c r="A39" s="72" t="str">
        <f ca="1">OFFSET(INDIRECT($H$24),ROW()-2,COLUMN()-1,1,1)</f>
        <v>ROA(%)</v>
      </c>
      <c r="B39" s="75">
        <f ca="1">OFFSET(INDIRECT($H$24),ROW()-2,COLUMN()-1,1,1)/100</f>
        <v>4.7400000000000005E-2</v>
      </c>
      <c r="C39" s="75">
        <f ca="1">OFFSET(INDIRECT($H$24),ROW()-2,COLUMN()-1,1,1)/100</f>
        <v>7.46E-2</v>
      </c>
      <c r="D39" s="75">
        <f ca="1">OFFSET(INDIRECT($H$24),ROW()-2,COLUMN()-1,1,1)/100</f>
        <v>0.1013</v>
      </c>
      <c r="E39" s="75">
        <f ca="1">OFFSET(INDIRECT($H$24),ROW()-2,COLUMN()-1,1,1)/100</f>
        <v>5.9800000000000006E-2</v>
      </c>
      <c r="F39" s="75">
        <f ca="1">OFFSET(INDIRECT($H$24),ROW()-2,COLUMN()-1,1,1)/100</f>
        <v>3.8300000000000001E-2</v>
      </c>
      <c r="G39" s="75">
        <f ca="1">IF(OFFSET(INDIRECT($H$24),ROW()-2,COLUMN()-1,1,1)=0,"",OFFSET(INDIRECT($H$24),ROW()-2,COLUMN()-1,1,1)/100)</f>
        <v>0.1017</v>
      </c>
      <c r="H39" s="75">
        <f ca="1">IF(OFFSET(INDIRECT($H$24),ROW()-2,COLUMN()-1,1,1)=0,"",OFFSET(INDIRECT($H$24),ROW()-2,COLUMN()-1,1,1)/100)</f>
        <v>0.11</v>
      </c>
      <c r="I39" s="75">
        <f ca="1">IF(OFFSET(INDIRECT($H$24),ROW()-2,COLUMN()-1,1,1)=0,"",OFFSET(INDIRECT($H$24),ROW()-2,COLUMN()-1,1,1)/100)</f>
        <v>0.11710000000000001</v>
      </c>
    </row>
    <row r="40" spans="1:9" ht="16.5" customHeight="1" x14ac:dyDescent="0.4">
      <c r="A40" s="72" t="str">
        <f ca="1">OFFSET(INDIRECT($H$24),ROW()+1,COLUMN()-1,1,1)</f>
        <v>ROE(%)</v>
      </c>
      <c r="B40" s="75">
        <v>6.4600000000000005E-2</v>
      </c>
      <c r="C40" s="75">
        <v>0.1057</v>
      </c>
      <c r="D40" s="75">
        <v>0.1283</v>
      </c>
      <c r="E40" s="75">
        <v>7.0000000000000007E-2</v>
      </c>
      <c r="F40" s="75">
        <v>4.4999999999999998E-2</v>
      </c>
      <c r="G40" s="75"/>
      <c r="H40" s="75"/>
      <c r="I40" s="75"/>
    </row>
    <row r="41" spans="1:9" ht="16.5" customHeight="1" x14ac:dyDescent="0.4">
      <c r="A41" s="72" t="str">
        <f ca="1">OFFSET(INDIRECT($H$24),ROW()+4,COLUMN()-1,1,1)</f>
        <v>EPS(원)</v>
      </c>
      <c r="B41" s="71">
        <v>986</v>
      </c>
      <c r="C41" s="71">
        <v>1755</v>
      </c>
      <c r="D41" s="71">
        <v>2379</v>
      </c>
      <c r="E41" s="71">
        <v>1419</v>
      </c>
      <c r="F41" s="71">
        <v>961</v>
      </c>
      <c r="G41" s="71"/>
      <c r="H41" s="71"/>
      <c r="I41" s="71"/>
    </row>
    <row r="42" spans="1:9" ht="16.5" customHeight="1" x14ac:dyDescent="0.4">
      <c r="A42" s="72" t="str">
        <f ca="1">OFFSET(INDIRECT($H$24),ROW()+7,COLUMN()-1,1,1)</f>
        <v>BPS(원)</v>
      </c>
      <c r="B42" s="71">
        <v>15769</v>
      </c>
      <c r="C42" s="71">
        <v>17449</v>
      </c>
      <c r="D42" s="71">
        <v>19629</v>
      </c>
      <c r="E42" s="71">
        <v>20938</v>
      </c>
      <c r="F42" s="71">
        <v>21788</v>
      </c>
      <c r="G42" s="71"/>
      <c r="H42" s="71"/>
      <c r="I42" s="71"/>
    </row>
    <row r="43" spans="1:9" ht="16.5" customHeight="1" x14ac:dyDescent="0.4">
      <c r="A43" s="72" t="str">
        <f ca="1">OFFSET(INDIRECT($H$24),ROW()+10,COLUMN()-1,1,1)</f>
        <v>DPS(원)</v>
      </c>
      <c r="B43" s="71">
        <v>83</v>
      </c>
      <c r="C43" s="71">
        <v>189</v>
      </c>
      <c r="D43" s="71">
        <v>200</v>
      </c>
      <c r="E43" s="71">
        <v>150</v>
      </c>
      <c r="F43" s="71">
        <v>150</v>
      </c>
      <c r="G43" s="71"/>
      <c r="H43" s="71"/>
      <c r="I43" s="71"/>
    </row>
    <row r="44" spans="1:9" ht="16.5" customHeight="1" x14ac:dyDescent="0.4">
      <c r="A44" s="72" t="str">
        <f ca="1">OFFSET(INDIRECT($H$24),ROW()+22,COLUMN()-1,1,1)</f>
        <v>배당수익률(%)</v>
      </c>
      <c r="B44" s="75">
        <v>1.24E-2</v>
      </c>
      <c r="C44" s="75">
        <v>2.3699999999999999E-2</v>
      </c>
      <c r="D44" s="75">
        <v>2.87E-2</v>
      </c>
      <c r="E44" s="75">
        <v>2.1000000000000001E-2</v>
      </c>
      <c r="F44" s="75">
        <v>3.1E-2</v>
      </c>
      <c r="G44" s="75"/>
      <c r="H44" s="75"/>
      <c r="I44" s="75"/>
    </row>
    <row r="45" spans="1:9" ht="16.5" customHeight="1" x14ac:dyDescent="0.4"/>
    <row r="46" spans="1:9" ht="16.5" customHeight="1" x14ac:dyDescent="0.4"/>
    <row r="47" spans="1:9" ht="16.5" customHeight="1" x14ac:dyDescent="0.4"/>
    <row r="48" spans="1:9" ht="16.5" customHeight="1" x14ac:dyDescent="0.4"/>
    <row r="50" spans="1:11" x14ac:dyDescent="0.4">
      <c r="A50" s="5" t="s">
        <v>269</v>
      </c>
      <c r="B50" s="72">
        <f ca="1">OFFSET(INDIRECT($H$24),72,1,1,1)</f>
        <v>45717</v>
      </c>
      <c r="C50" s="72">
        <f ca="1">OFFSET(INDIRECT($H$24),72,2,1,1)</f>
        <v>45809</v>
      </c>
      <c r="D50" s="72">
        <f ca="1">OFFSET(INDIRECT($H$24),72,3,1,1)</f>
        <v>45901</v>
      </c>
      <c r="E50" s="72">
        <f ca="1">OFFSET(INDIRECT($H$24),72,4,1,1)</f>
        <v>45992</v>
      </c>
      <c r="F50" s="72">
        <f ca="1">OFFSET(INDIRECT($H$24),72,5,1,1)</f>
        <v>45992</v>
      </c>
      <c r="K50" s="1">
        <f ca="1">MONTH(F50)</f>
        <v>12</v>
      </c>
    </row>
    <row r="51" spans="1:11" x14ac:dyDescent="0.4">
      <c r="A51" s="72" t="str">
        <f t="shared" ref="A51:I62" ca="1" si="5">OFFSET(INDIRECT($H$24),ROW()+25,COLUMN()-1,1,1)</f>
        <v>매출액</v>
      </c>
      <c r="B51" s="71">
        <f t="shared" ca="1" si="5"/>
        <v>726</v>
      </c>
      <c r="C51" s="71">
        <f t="shared" ca="1" si="5"/>
        <v>791</v>
      </c>
      <c r="D51" s="71">
        <f t="shared" ca="1" si="5"/>
        <v>795</v>
      </c>
      <c r="E51" s="71">
        <f t="shared" ca="1" si="5"/>
        <v>795</v>
      </c>
      <c r="F51" s="71">
        <f t="shared" ca="1" si="5"/>
        <v>795</v>
      </c>
      <c r="G51" s="71">
        <f t="shared" ca="1" si="5"/>
        <v>742191</v>
      </c>
      <c r="H51" s="71">
        <f t="shared" ca="1" si="5"/>
        <v>736359</v>
      </c>
      <c r="I51" s="71">
        <f t="shared" ca="1" si="5"/>
        <v>815194</v>
      </c>
      <c r="K51" s="76">
        <f ca="1">MIN(B51:F51,B60:F60)</f>
        <v>726</v>
      </c>
    </row>
    <row r="52" spans="1:11" x14ac:dyDescent="0.4">
      <c r="A52" s="72" t="str">
        <f t="shared" ca="1" si="5"/>
        <v>영업이익</v>
      </c>
      <c r="B52" s="71">
        <f t="shared" ca="1" si="5"/>
        <v>51</v>
      </c>
      <c r="C52" s="71">
        <f t="shared" ca="1" si="5"/>
        <v>41</v>
      </c>
      <c r="D52" s="71">
        <f t="shared" ca="1" si="5"/>
        <v>40</v>
      </c>
      <c r="E52" s="71">
        <f t="shared" ca="1" si="5"/>
        <v>40</v>
      </c>
      <c r="F52" s="71">
        <f t="shared" ca="1" si="5"/>
        <v>40</v>
      </c>
      <c r="G52" s="71">
        <f t="shared" ca="1" si="5"/>
        <v>130350</v>
      </c>
      <c r="H52" s="71">
        <f t="shared" ca="1" si="5"/>
        <v>133921</v>
      </c>
      <c r="I52" s="71">
        <f t="shared" ca="1" si="5"/>
        <v>160374</v>
      </c>
    </row>
    <row r="53" spans="1:11" x14ac:dyDescent="0.4">
      <c r="A53" s="72" t="str">
        <f t="shared" ca="1" si="5"/>
        <v>영업이익(발표기준)</v>
      </c>
      <c r="B53" s="71">
        <f t="shared" ca="1" si="5"/>
        <v>51</v>
      </c>
      <c r="C53" s="71">
        <f t="shared" ca="1" si="5"/>
        <v>41</v>
      </c>
      <c r="D53" s="71">
        <f t="shared" ca="1" si="5"/>
        <v>40</v>
      </c>
      <c r="E53" s="71">
        <f t="shared" ca="1" si="5"/>
        <v>40</v>
      </c>
      <c r="F53" s="71">
        <f t="shared" ca="1" si="5"/>
        <v>40</v>
      </c>
      <c r="G53" s="71">
        <f t="shared" ca="1" si="5"/>
        <v>0</v>
      </c>
      <c r="H53" s="71">
        <f t="shared" ca="1" si="5"/>
        <v>0</v>
      </c>
      <c r="I53" s="71">
        <f t="shared" ca="1" si="5"/>
        <v>0</v>
      </c>
    </row>
    <row r="54" spans="1:11" x14ac:dyDescent="0.4">
      <c r="A54" s="72" t="str">
        <f t="shared" ca="1" si="5"/>
        <v>당기순이익</v>
      </c>
      <c r="B54" s="71">
        <f t="shared" ca="1" si="5"/>
        <v>63</v>
      </c>
      <c r="C54" s="71">
        <f t="shared" ca="1" si="5"/>
        <v>56</v>
      </c>
      <c r="D54" s="71">
        <f t="shared" ca="1" si="5"/>
        <v>45</v>
      </c>
      <c r="E54" s="71">
        <f t="shared" ca="1" si="5"/>
        <v>45</v>
      </c>
      <c r="F54" s="71">
        <f t="shared" ca="1" si="5"/>
        <v>45</v>
      </c>
      <c r="G54" s="71">
        <f t="shared" ca="1" si="5"/>
        <v>94986</v>
      </c>
      <c r="H54" s="71">
        <f t="shared" ca="1" si="5"/>
        <v>98185</v>
      </c>
      <c r="I54" s="71">
        <f t="shared" ca="1" si="5"/>
        <v>122210</v>
      </c>
      <c r="K54" s="1" t="s">
        <v>380</v>
      </c>
    </row>
    <row r="55" spans="1:11" x14ac:dyDescent="0.4">
      <c r="A55" s="72" t="str">
        <f t="shared" ca="1" si="5"/>
        <v>  지배주주순이익</v>
      </c>
      <c r="B55" s="71">
        <f t="shared" ca="1" si="5"/>
        <v>55</v>
      </c>
      <c r="C55" s="71">
        <f t="shared" ca="1" si="5"/>
        <v>50</v>
      </c>
      <c r="D55" s="71">
        <f t="shared" ca="1" si="5"/>
        <v>37</v>
      </c>
      <c r="E55" s="71">
        <f t="shared" ca="1" si="5"/>
        <v>37</v>
      </c>
      <c r="F55" s="71">
        <f t="shared" ca="1" si="5"/>
        <v>37</v>
      </c>
      <c r="G55" s="71">
        <f t="shared" ca="1" si="5"/>
        <v>98347</v>
      </c>
      <c r="H55" s="71">
        <f t="shared" ca="1" si="5"/>
        <v>96976</v>
      </c>
      <c r="I55" s="71">
        <f t="shared" ca="1" si="5"/>
        <v>114404</v>
      </c>
      <c r="K55" s="76">
        <f ca="1">SUM(C55:F55)</f>
        <v>161</v>
      </c>
    </row>
    <row r="56" spans="1:11" x14ac:dyDescent="0.4">
      <c r="A56" s="72" t="str">
        <f t="shared" ca="1" si="5"/>
        <v>  비지배주주순이익</v>
      </c>
      <c r="B56" s="71">
        <f t="shared" ca="1" si="5"/>
        <v>8</v>
      </c>
      <c r="C56" s="71">
        <f t="shared" ca="1" si="5"/>
        <v>7</v>
      </c>
      <c r="D56" s="71">
        <f t="shared" ca="1" si="5"/>
        <v>8</v>
      </c>
      <c r="E56" s="71">
        <f t="shared" ca="1" si="5"/>
        <v>8</v>
      </c>
      <c r="F56" s="71">
        <f t="shared" ca="1" si="5"/>
        <v>8</v>
      </c>
      <c r="G56" s="71">
        <f t="shared" ca="1" si="5"/>
        <v>0</v>
      </c>
      <c r="H56" s="71">
        <f t="shared" ca="1" si="5"/>
        <v>0</v>
      </c>
      <c r="I56" s="71">
        <f t="shared" ca="1" si="5"/>
        <v>0</v>
      </c>
    </row>
    <row r="57" spans="1:11" x14ac:dyDescent="0.4">
      <c r="A57" s="72" t="str">
        <f t="shared" ca="1" si="5"/>
        <v>자산총계</v>
      </c>
      <c r="B57" s="71">
        <f t="shared" ca="1" si="5"/>
        <v>5137</v>
      </c>
      <c r="C57" s="71">
        <f t="shared" ca="1" si="5"/>
        <v>5329</v>
      </c>
      <c r="D57" s="71">
        <f t="shared" ca="1" si="5"/>
        <v>5420</v>
      </c>
      <c r="E57" s="71">
        <f t="shared" ca="1" si="5"/>
        <v>5420</v>
      </c>
      <c r="F57" s="71">
        <f t="shared" ca="1" si="5"/>
        <v>5420</v>
      </c>
      <c r="G57" s="71">
        <f t="shared" ca="1" si="5"/>
        <v>0</v>
      </c>
      <c r="H57" s="71">
        <f t="shared" ca="1" si="5"/>
        <v>0</v>
      </c>
      <c r="I57" s="71">
        <f t="shared" ca="1" si="5"/>
        <v>0</v>
      </c>
    </row>
    <row r="58" spans="1:11" x14ac:dyDescent="0.4">
      <c r="A58" s="72" t="str">
        <f t="shared" ca="1" si="5"/>
        <v>부채총계</v>
      </c>
      <c r="B58" s="71">
        <f t="shared" ca="1" si="5"/>
        <v>923</v>
      </c>
      <c r="C58" s="71">
        <f t="shared" ca="1" si="5"/>
        <v>1060</v>
      </c>
      <c r="D58" s="71">
        <f t="shared" ca="1" si="5"/>
        <v>1106</v>
      </c>
      <c r="E58" s="71">
        <f t="shared" ca="1" si="5"/>
        <v>1106</v>
      </c>
      <c r="F58" s="71">
        <f t="shared" ca="1" si="5"/>
        <v>1106</v>
      </c>
      <c r="G58" s="71">
        <f t="shared" ca="1" si="5"/>
        <v>0</v>
      </c>
      <c r="H58" s="71">
        <f t="shared" ca="1" si="5"/>
        <v>0</v>
      </c>
      <c r="I58" s="71">
        <f t="shared" ca="1" si="5"/>
        <v>0</v>
      </c>
    </row>
    <row r="59" spans="1:11" x14ac:dyDescent="0.4">
      <c r="A59" s="72" t="str">
        <f t="shared" ca="1" si="5"/>
        <v>자본총계</v>
      </c>
      <c r="B59" s="71">
        <f t="shared" ca="1" si="5"/>
        <v>4214</v>
      </c>
      <c r="C59" s="71">
        <f t="shared" ca="1" si="5"/>
        <v>4269</v>
      </c>
      <c r="D59" s="71">
        <f t="shared" ca="1" si="5"/>
        <v>4314</v>
      </c>
      <c r="E59" s="71">
        <f t="shared" ca="1" si="5"/>
        <v>4314</v>
      </c>
      <c r="F59" s="71">
        <f t="shared" ca="1" si="5"/>
        <v>4314</v>
      </c>
      <c r="G59" s="71">
        <f t="shared" ca="1" si="5"/>
        <v>0</v>
      </c>
      <c r="H59" s="71">
        <f t="shared" ca="1" si="5"/>
        <v>0</v>
      </c>
      <c r="I59" s="71">
        <f t="shared" ca="1" si="5"/>
        <v>0</v>
      </c>
    </row>
    <row r="60" spans="1:11" x14ac:dyDescent="0.4">
      <c r="A60" s="72" t="str">
        <f t="shared" ca="1" si="5"/>
        <v>  지배주주지분</v>
      </c>
      <c r="B60" s="71">
        <f t="shared" ca="1" si="5"/>
        <v>3740</v>
      </c>
      <c r="C60" s="71">
        <f t="shared" ca="1" si="5"/>
        <v>3788</v>
      </c>
      <c r="D60" s="71">
        <f t="shared" ca="1" si="5"/>
        <v>3825</v>
      </c>
      <c r="E60" s="71">
        <f t="shared" ca="1" si="5"/>
        <v>3825</v>
      </c>
      <c r="F60" s="71">
        <f t="shared" ca="1" si="5"/>
        <v>3825</v>
      </c>
      <c r="G60" s="71">
        <f t="shared" ca="1" si="5"/>
        <v>0</v>
      </c>
      <c r="H60" s="71">
        <f t="shared" ca="1" si="5"/>
        <v>0</v>
      </c>
      <c r="I60" s="71">
        <f t="shared" ca="1" si="5"/>
        <v>0</v>
      </c>
      <c r="K60" s="76">
        <f ca="1">AVERAGE(B60,F60)</f>
        <v>3782.5</v>
      </c>
    </row>
    <row r="61" spans="1:11" x14ac:dyDescent="0.4">
      <c r="A61" s="72" t="str">
        <f t="shared" ca="1" si="5"/>
        <v>  비지배주주지분</v>
      </c>
      <c r="B61" s="71">
        <f t="shared" ca="1" si="5"/>
        <v>475</v>
      </c>
      <c r="C61" s="71">
        <f t="shared" ca="1" si="5"/>
        <v>481</v>
      </c>
      <c r="D61" s="71">
        <f t="shared" ca="1" si="5"/>
        <v>489</v>
      </c>
      <c r="E61" s="71">
        <f t="shared" ca="1" si="5"/>
        <v>489</v>
      </c>
      <c r="F61" s="71">
        <f t="shared" ca="1" si="5"/>
        <v>489</v>
      </c>
      <c r="G61" s="71">
        <f t="shared" ca="1" si="5"/>
        <v>0</v>
      </c>
      <c r="H61" s="71">
        <f t="shared" ca="1" si="5"/>
        <v>0</v>
      </c>
      <c r="I61" s="71">
        <f t="shared" ca="1" si="5"/>
        <v>0</v>
      </c>
      <c r="K61" s="68">
        <f ca="1">IF(K51=0,K60/K51,K55/K60)</f>
        <v>4.2564441506939853E-2</v>
      </c>
    </row>
    <row r="62" spans="1:11" x14ac:dyDescent="0.4">
      <c r="A62" s="72" t="str">
        <f t="shared" ca="1" si="5"/>
        <v>자본금</v>
      </c>
      <c r="B62" s="71">
        <f t="shared" ca="1" si="5"/>
        <v>85</v>
      </c>
      <c r="C62" s="71">
        <f t="shared" ca="1" si="5"/>
        <v>85</v>
      </c>
      <c r="D62" s="71">
        <f t="shared" ca="1" si="5"/>
        <v>85</v>
      </c>
      <c r="E62" s="71">
        <f t="shared" ca="1" si="5"/>
        <v>85</v>
      </c>
      <c r="F62" s="71">
        <f t="shared" ca="1" si="5"/>
        <v>85</v>
      </c>
      <c r="G62" s="71">
        <f t="shared" ca="1" si="5"/>
        <v>0</v>
      </c>
      <c r="H62" s="71">
        <f t="shared" ca="1" si="5"/>
        <v>0</v>
      </c>
      <c r="I62" s="71">
        <f t="shared" ca="1" si="5"/>
        <v>0</v>
      </c>
    </row>
    <row r="66" spans="1:11" x14ac:dyDescent="0.4">
      <c r="F66" s="1" t="s">
        <v>319</v>
      </c>
      <c r="G66" s="32">
        <f>IF(ISNA(MATCH(F66,FN_Snapshot!A:A,0)),MATCH(F67,FN_Snapshot!A:A,0),MATCH(F66,FN_Snapshot!A:A,0))</f>
        <v>544</v>
      </c>
      <c r="H66" s="32" t="str">
        <f>"FN_Snapshot!A"&amp;G66</f>
        <v>FN_Snapshot!A544</v>
      </c>
      <c r="I66" s="32">
        <f ca="1">OFFSET(INDIRECT($H$66),3,0,1,1)</f>
        <v>0</v>
      </c>
    </row>
    <row r="67" spans="1:11" x14ac:dyDescent="0.4">
      <c r="F67" s="1" t="s">
        <v>381</v>
      </c>
    </row>
    <row r="68" spans="1:11" x14ac:dyDescent="0.4">
      <c r="A68" s="173" t="str">
        <f ca="1">OFFSET(INDIRECT($H$66),0,0,1,1)</f>
        <v>IFRS(별도)</v>
      </c>
      <c r="B68" s="72">
        <f ca="1">OFFSET(INDIRECT($H$66),127,1,1,1)</f>
        <v>44166</v>
      </c>
      <c r="C68" s="72">
        <f ca="1">OFFSET(INDIRECT($H$66),127,2,1,1)</f>
        <v>44256</v>
      </c>
      <c r="D68" s="72">
        <f ca="1">OFFSET(INDIRECT($H$66),127,3,1,1)</f>
        <v>44348</v>
      </c>
      <c r="E68" s="72">
        <f ca="1">OFFSET(INDIRECT($H$66),127,4,1,1)</f>
        <v>44440</v>
      </c>
      <c r="F68" s="72">
        <f ca="1">OFFSET(INDIRECT($H$66),127,5,1,1)</f>
        <v>44531</v>
      </c>
      <c r="K68" s="1">
        <f ca="1">MONTH(F68)</f>
        <v>12</v>
      </c>
    </row>
    <row r="69" spans="1:11" x14ac:dyDescent="0.4">
      <c r="A69" s="72" t="str">
        <f t="shared" ref="A69:I76" ca="1" si="6">OFFSET(INDIRECT($H$66),ROW()+62,COLUMN()-1,1,1)</f>
        <v>매출액</v>
      </c>
      <c r="B69" s="71">
        <f t="shared" ca="1" si="6"/>
        <v>405179</v>
      </c>
      <c r="C69" s="71">
        <f t="shared" ca="1" si="6"/>
        <v>450424</v>
      </c>
      <c r="D69" s="71">
        <f t="shared" ca="1" si="6"/>
        <v>457686</v>
      </c>
      <c r="E69" s="71">
        <f t="shared" ca="1" si="6"/>
        <v>539198</v>
      </c>
      <c r="F69" s="71">
        <f t="shared" ca="1" si="6"/>
        <v>550139</v>
      </c>
      <c r="G69" s="71">
        <f t="shared" ca="1" si="6"/>
        <v>0</v>
      </c>
      <c r="H69" s="71">
        <f t="shared" ca="1" si="6"/>
        <v>0</v>
      </c>
      <c r="I69" s="71">
        <f t="shared" ca="1" si="6"/>
        <v>0</v>
      </c>
      <c r="K69" s="76">
        <f ca="1">MIN(B69:F69,B75:F75)</f>
        <v>405179</v>
      </c>
    </row>
    <row r="70" spans="1:11" x14ac:dyDescent="0.4">
      <c r="A70" s="72" t="str">
        <f t="shared" ca="1" si="6"/>
        <v>영업이익</v>
      </c>
      <c r="B70" s="71">
        <f t="shared" ca="1" si="6"/>
        <v>58023</v>
      </c>
      <c r="C70" s="71">
        <f t="shared" ca="1" si="6"/>
        <v>44455</v>
      </c>
      <c r="D70" s="71">
        <f t="shared" ca="1" si="6"/>
        <v>77188</v>
      </c>
      <c r="E70" s="71">
        <f t="shared" ca="1" si="6"/>
        <v>105812</v>
      </c>
      <c r="F70" s="71">
        <f t="shared" ca="1" si="6"/>
        <v>92478</v>
      </c>
      <c r="G70" s="71">
        <f t="shared" ca="1" si="6"/>
        <v>0</v>
      </c>
      <c r="H70" s="71">
        <f t="shared" ca="1" si="6"/>
        <v>0</v>
      </c>
      <c r="I70" s="71">
        <f t="shared" ca="1" si="6"/>
        <v>0</v>
      </c>
    </row>
    <row r="71" spans="1:11" x14ac:dyDescent="0.4">
      <c r="A71" s="72" t="str">
        <f t="shared" ca="1" si="6"/>
        <v>영업이익(발표기준)</v>
      </c>
      <c r="B71" s="71">
        <f t="shared" ca="1" si="6"/>
        <v>58023</v>
      </c>
      <c r="C71" s="71">
        <f t="shared" ca="1" si="6"/>
        <v>44455</v>
      </c>
      <c r="D71" s="71">
        <f t="shared" ca="1" si="6"/>
        <v>77188</v>
      </c>
      <c r="E71" s="71">
        <f t="shared" ca="1" si="6"/>
        <v>105812</v>
      </c>
      <c r="F71" s="71">
        <f t="shared" ca="1" si="6"/>
        <v>92478</v>
      </c>
      <c r="G71" s="71">
        <f t="shared" ca="1" si="6"/>
        <v>0</v>
      </c>
      <c r="H71" s="71">
        <f t="shared" ca="1" si="6"/>
        <v>0</v>
      </c>
      <c r="I71" s="71">
        <f t="shared" ca="1" si="6"/>
        <v>0</v>
      </c>
      <c r="K71" s="1" t="s">
        <v>380</v>
      </c>
    </row>
    <row r="72" spans="1:11" x14ac:dyDescent="0.4">
      <c r="A72" s="72" t="str">
        <f t="shared" ca="1" si="6"/>
        <v>당기순이익</v>
      </c>
      <c r="B72" s="71">
        <f t="shared" ca="1" si="6"/>
        <v>45168</v>
      </c>
      <c r="C72" s="71">
        <f t="shared" ca="1" si="6"/>
        <v>45476</v>
      </c>
      <c r="D72" s="71">
        <f t="shared" ca="1" si="6"/>
        <v>91292</v>
      </c>
      <c r="E72" s="71">
        <f t="shared" ca="1" si="6"/>
        <v>85947</v>
      </c>
      <c r="F72" s="71">
        <f t="shared" ca="1" si="6"/>
        <v>86995</v>
      </c>
      <c r="G72" s="71">
        <f t="shared" ca="1" si="6"/>
        <v>0</v>
      </c>
      <c r="H72" s="71">
        <f t="shared" ca="1" si="6"/>
        <v>0</v>
      </c>
      <c r="I72" s="71">
        <f t="shared" ca="1" si="6"/>
        <v>0</v>
      </c>
      <c r="K72" s="76">
        <f ca="1">SUM(C72:F72)</f>
        <v>309710</v>
      </c>
    </row>
    <row r="73" spans="1:11" x14ac:dyDescent="0.4">
      <c r="A73" s="72" t="str">
        <f t="shared" ca="1" si="6"/>
        <v>자산총계</v>
      </c>
      <c r="B73" s="71">
        <f t="shared" ca="1" si="6"/>
        <v>2296644</v>
      </c>
      <c r="C73" s="71">
        <f t="shared" ca="1" si="6"/>
        <v>2365306</v>
      </c>
      <c r="D73" s="71">
        <f t="shared" ca="1" si="6"/>
        <v>2278276</v>
      </c>
      <c r="E73" s="71">
        <f t="shared" ca="1" si="6"/>
        <v>2406844</v>
      </c>
      <c r="F73" s="71">
        <f t="shared" ca="1" si="6"/>
        <v>2511122</v>
      </c>
      <c r="G73" s="71">
        <f t="shared" ca="1" si="6"/>
        <v>0</v>
      </c>
      <c r="H73" s="71">
        <f t="shared" ca="1" si="6"/>
        <v>0</v>
      </c>
      <c r="I73" s="71">
        <f t="shared" ca="1" si="6"/>
        <v>0</v>
      </c>
    </row>
    <row r="74" spans="1:11" x14ac:dyDescent="0.4">
      <c r="A74" s="72" t="str">
        <f t="shared" ca="1" si="6"/>
        <v>부채총계</v>
      </c>
      <c r="B74" s="71">
        <f t="shared" ca="1" si="6"/>
        <v>463477</v>
      </c>
      <c r="C74" s="71">
        <f t="shared" ca="1" si="6"/>
        <v>617745</v>
      </c>
      <c r="D74" s="71">
        <f t="shared" ca="1" si="6"/>
        <v>464747</v>
      </c>
      <c r="E74" s="71">
        <f t="shared" ca="1" si="6"/>
        <v>532943</v>
      </c>
      <c r="F74" s="71">
        <f t="shared" ca="1" si="6"/>
        <v>579185</v>
      </c>
      <c r="G74" s="71">
        <f t="shared" ca="1" si="6"/>
        <v>0</v>
      </c>
      <c r="H74" s="71">
        <f t="shared" ca="1" si="6"/>
        <v>0</v>
      </c>
      <c r="I74" s="71">
        <f t="shared" ca="1" si="6"/>
        <v>0</v>
      </c>
    </row>
    <row r="75" spans="1:11" x14ac:dyDescent="0.4">
      <c r="A75" s="72" t="str">
        <f t="shared" ca="1" si="6"/>
        <v>자본총계</v>
      </c>
      <c r="B75" s="71">
        <f t="shared" ca="1" si="6"/>
        <v>1833167</v>
      </c>
      <c r="C75" s="71">
        <f t="shared" ca="1" si="6"/>
        <v>1747561</v>
      </c>
      <c r="D75" s="71">
        <f t="shared" ca="1" si="6"/>
        <v>1813529</v>
      </c>
      <c r="E75" s="71">
        <f t="shared" ca="1" si="6"/>
        <v>1873901</v>
      </c>
      <c r="F75" s="71">
        <f t="shared" ca="1" si="6"/>
        <v>1931937</v>
      </c>
      <c r="G75" s="71">
        <f t="shared" ca="1" si="6"/>
        <v>0</v>
      </c>
      <c r="H75" s="71">
        <f t="shared" ca="1" si="6"/>
        <v>0</v>
      </c>
      <c r="I75" s="71">
        <f t="shared" ca="1" si="6"/>
        <v>0</v>
      </c>
      <c r="K75" s="76">
        <f ca="1">AVERAGE(B75,F75)</f>
        <v>1882552</v>
      </c>
    </row>
    <row r="76" spans="1:11" x14ac:dyDescent="0.4">
      <c r="A76" s="72" t="str">
        <f t="shared" ca="1" si="6"/>
        <v>자본금</v>
      </c>
      <c r="B76" s="71">
        <f t="shared" ca="1" si="6"/>
        <v>8975</v>
      </c>
      <c r="C76" s="71">
        <f t="shared" ca="1" si="6"/>
        <v>8975</v>
      </c>
      <c r="D76" s="71">
        <f t="shared" ca="1" si="6"/>
        <v>8975</v>
      </c>
      <c r="E76" s="71">
        <f t="shared" ca="1" si="6"/>
        <v>8975</v>
      </c>
      <c r="F76" s="71">
        <f t="shared" ca="1" si="6"/>
        <v>8975</v>
      </c>
      <c r="G76" s="71">
        <f t="shared" ca="1" si="6"/>
        <v>0</v>
      </c>
      <c r="H76" s="71">
        <f t="shared" ca="1" si="6"/>
        <v>0</v>
      </c>
      <c r="I76" s="71">
        <f t="shared" ca="1" si="6"/>
        <v>0</v>
      </c>
      <c r="K76" s="68">
        <f ca="1">K72/K75</f>
        <v>0.16451603992877753</v>
      </c>
    </row>
    <row r="78" spans="1:11" x14ac:dyDescent="0.4">
      <c r="K78" s="68">
        <f ca="1">IF(ISERR(K61),IF(K69=0,"분기자료부족",K76),K61)</f>
        <v>4.2564441506939853E-2</v>
      </c>
    </row>
    <row r="82" spans="1:9" x14ac:dyDescent="0.4">
      <c r="A82" s="65" t="s">
        <v>235</v>
      </c>
      <c r="B82" s="64"/>
      <c r="C82" s="64"/>
      <c r="D82" s="64"/>
      <c r="E82" s="64"/>
      <c r="F82" s="64"/>
      <c r="G82" s="181">
        <f>MATCH(A82,FN_Snapshot!A:A,0)</f>
        <v>271</v>
      </c>
      <c r="H82" s="181" t="str">
        <f>"FN_Snapshot!A"&amp;G82</f>
        <v>FN_Snapshot!A271</v>
      </c>
      <c r="I82" s="64"/>
    </row>
    <row r="84" spans="1:9" x14ac:dyDescent="0.4">
      <c r="A84" s="9" t="s">
        <v>239</v>
      </c>
      <c r="B84" s="182" t="s">
        <v>61</v>
      </c>
      <c r="C84" s="182" t="str">
        <f ca="1">OFFSET(INDIRECT($H$82),6,2,1,1)</f>
        <v>코스피 전기,전자</v>
      </c>
      <c r="D84" s="182" t="str">
        <f ca="1">OFFSET(INDIRECT($H$82),6,3,1,1)</f>
        <v>KOSPI</v>
      </c>
    </row>
    <row r="85" spans="1:9" x14ac:dyDescent="0.4">
      <c r="A85" s="9" t="s">
        <v>249</v>
      </c>
      <c r="B85" s="75">
        <v>4.4999999999999998E-2</v>
      </c>
      <c r="C85" s="75">
        <v>1.9099999999999999E-2</v>
      </c>
      <c r="D85" s="75">
        <v>7.4700000000000003E-2</v>
      </c>
    </row>
    <row r="86" spans="1:9" x14ac:dyDescent="0.4">
      <c r="A86" s="9" t="s">
        <v>74</v>
      </c>
      <c r="B86" s="183">
        <v>5.04</v>
      </c>
      <c r="C86" s="183">
        <v>29.1</v>
      </c>
      <c r="D86" s="183">
        <f ca="1">OFFSET(INDIRECT($H$82),11,3,1,1)</f>
        <v>22.35</v>
      </c>
    </row>
    <row r="87" spans="1:9" x14ac:dyDescent="0.4">
      <c r="A87" s="9" t="s">
        <v>85</v>
      </c>
      <c r="B87" s="75">
        <v>3.1E-2</v>
      </c>
      <c r="C87" s="75">
        <v>2.58E-2</v>
      </c>
      <c r="D87" s="75">
        <v>2.2800000000000001E-2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64"/>
  <sheetViews>
    <sheetView workbookViewId="0">
      <selection activeCell="J7" sqref="J7"/>
    </sheetView>
  </sheetViews>
  <sheetFormatPr defaultColWidth="9" defaultRowHeight="17.399999999999999" x14ac:dyDescent="0.4"/>
  <cols>
    <col min="1" max="1" width="18.59765625" style="1" customWidth="1"/>
    <col min="2" max="19" width="15.59765625" style="1" customWidth="1"/>
    <col min="20" max="20" width="9" style="1" customWidth="1"/>
    <col min="21" max="16384" width="9" style="1"/>
  </cols>
  <sheetData>
    <row r="2" spans="1:13" x14ac:dyDescent="0.4">
      <c r="A2" s="15" t="s">
        <v>382</v>
      </c>
      <c r="B2" s="24">
        <f>Data!F26</f>
        <v>2024</v>
      </c>
      <c r="D2" s="1" t="s">
        <v>249</v>
      </c>
      <c r="E2" s="174">
        <f>Data!B40</f>
        <v>6.4600000000000005E-2</v>
      </c>
      <c r="F2" s="174">
        <f>Data!C40</f>
        <v>0.1057</v>
      </c>
      <c r="G2" s="174">
        <f>Data!D40</f>
        <v>0.1283</v>
      </c>
      <c r="H2" s="174">
        <f>Data!E40</f>
        <v>7.0000000000000007E-2</v>
      </c>
      <c r="I2" s="174">
        <f>Data!F40</f>
        <v>4.4999999999999998E-2</v>
      </c>
      <c r="J2" s="174">
        <f>Data!G40</f>
        <v>0</v>
      </c>
      <c r="K2" s="174">
        <f>Data!H40</f>
        <v>0</v>
      </c>
      <c r="L2" s="174">
        <f>Data!I40</f>
        <v>0</v>
      </c>
      <c r="M2" s="174">
        <f ca="1">Data!K78</f>
        <v>4.2564441506939853E-2</v>
      </c>
    </row>
    <row r="3" spans="1:13" x14ac:dyDescent="0.4">
      <c r="A3" s="15" t="s">
        <v>354</v>
      </c>
      <c r="B3" s="12">
        <f>결과!D14</f>
        <v>0.1026</v>
      </c>
      <c r="D3" s="1" t="s">
        <v>383</v>
      </c>
      <c r="E3" s="76">
        <f>Data!B36</f>
        <v>2680</v>
      </c>
      <c r="F3" s="76">
        <f>Data!C36</f>
        <v>2966</v>
      </c>
      <c r="G3" s="76">
        <f>Data!D36</f>
        <v>3336</v>
      </c>
      <c r="H3" s="76">
        <f>Data!E36</f>
        <v>3558</v>
      </c>
      <c r="I3" s="76">
        <f>Data!F36</f>
        <v>3703</v>
      </c>
      <c r="J3" s="76">
        <f>Data!G36</f>
        <v>0</v>
      </c>
      <c r="K3" s="76">
        <f>Data!H36</f>
        <v>0</v>
      </c>
      <c r="L3" s="76">
        <f>Data!I36</f>
        <v>0</v>
      </c>
      <c r="M3" s="76">
        <f ca="1">IF(ISERR(Data!K61),IF(Data!K69=0,Data!F36,Data!F75),Data!F60)</f>
        <v>3825</v>
      </c>
    </row>
    <row r="4" spans="1:13" x14ac:dyDescent="0.4">
      <c r="A4" s="15" t="s">
        <v>384</v>
      </c>
      <c r="B4" s="13">
        <f ca="1">Data!B7+Data!C7</f>
        <v>17000000</v>
      </c>
      <c r="D4" s="1" t="s">
        <v>362</v>
      </c>
      <c r="E4" s="199">
        <f>DATE(Data!B26,12,31)</f>
        <v>44196</v>
      </c>
      <c r="F4" s="199">
        <f>DATE(Data!C26,12,31)</f>
        <v>44561</v>
      </c>
      <c r="G4" s="199">
        <f>DATE(Data!D26,12,31)</f>
        <v>44926</v>
      </c>
      <c r="H4" s="199">
        <f>DATE(Data!E26,12,31)</f>
        <v>45291</v>
      </c>
      <c r="I4" s="199">
        <f>DATE(Data!F26,12,31)</f>
        <v>45657</v>
      </c>
      <c r="J4" s="199">
        <f>DATE(Data!G26,12,31)</f>
        <v>46022</v>
      </c>
      <c r="K4" s="199">
        <f>DATE(Data!H26,12,31)</f>
        <v>46387</v>
      </c>
      <c r="L4" s="199">
        <f>DATE(Data!I26,12,31)</f>
        <v>46752</v>
      </c>
      <c r="M4" s="199">
        <f ca="1">EOMONTH(Data!F50,0)</f>
        <v>46022</v>
      </c>
    </row>
    <row r="5" spans="1:13" x14ac:dyDescent="0.4">
      <c r="A5" s="15" t="s">
        <v>344</v>
      </c>
      <c r="B5" s="13">
        <f ca="1">Data!B8</f>
        <v>11218</v>
      </c>
      <c r="D5" s="1" t="s">
        <v>385</v>
      </c>
      <c r="E5" s="76">
        <f>Data!B31</f>
        <v>168</v>
      </c>
      <c r="F5" s="76">
        <f>Data!C31</f>
        <v>298</v>
      </c>
      <c r="G5" s="76">
        <f>Data!D31</f>
        <v>404</v>
      </c>
      <c r="H5" s="76">
        <f>Data!E31</f>
        <v>241</v>
      </c>
      <c r="I5" s="76">
        <f>Data!F31</f>
        <v>163</v>
      </c>
      <c r="J5" s="76">
        <f>Data!G31</f>
        <v>0</v>
      </c>
      <c r="K5" s="76">
        <f>Data!H31</f>
        <v>0</v>
      </c>
      <c r="L5" s="76">
        <f>Data!I31</f>
        <v>0</v>
      </c>
      <c r="M5" s="76">
        <f ca="1">IF(ISERR(Data!K61),IF(Data!K69=0,Data!F31,Data!K72),Data!K55)</f>
        <v>161</v>
      </c>
    </row>
    <row r="6" spans="1:13" ht="16.5" customHeight="1" thickBot="1" x14ac:dyDescent="0.45"/>
    <row r="7" spans="1:13" ht="16.5" customHeight="1" thickBot="1" x14ac:dyDescent="0.45">
      <c r="A7" s="172" t="s">
        <v>361</v>
      </c>
      <c r="B7" s="101">
        <f ca="1">결과!D20</f>
        <v>6.7216666666666661E-2</v>
      </c>
      <c r="E7" s="5" t="s">
        <v>386</v>
      </c>
      <c r="F7" s="50">
        <v>45657</v>
      </c>
      <c r="G7" s="5" t="s">
        <v>387</v>
      </c>
      <c r="H7" s="60">
        <f ca="1">TODAY()</f>
        <v>46101</v>
      </c>
      <c r="I7" s="5" t="s">
        <v>388</v>
      </c>
      <c r="J7" s="5">
        <v>2034</v>
      </c>
    </row>
    <row r="8" spans="1:13" x14ac:dyDescent="0.4">
      <c r="E8" s="5" t="s">
        <v>389</v>
      </c>
      <c r="F8" s="49">
        <f ca="1">IF(ISNA(HLOOKUP(B7,$E$2:$M$3,2,FALSE)),M3,HLOOKUP(B7,$E$2:$M$3,2,FALSE))</f>
        <v>3825</v>
      </c>
      <c r="G8" s="5" t="s">
        <v>390</v>
      </c>
      <c r="H8" s="61">
        <f ca="1">F7-H7</f>
        <v>-444</v>
      </c>
    </row>
    <row r="10" spans="1:13" ht="16.5" customHeight="1" x14ac:dyDescent="0.4">
      <c r="A10" s="9" t="s">
        <v>347</v>
      </c>
      <c r="B10" s="47" t="s">
        <v>391</v>
      </c>
      <c r="C10" s="47" t="s">
        <v>367</v>
      </c>
      <c r="D10" s="47" t="s">
        <v>392</v>
      </c>
      <c r="E10" s="47" t="s">
        <v>74</v>
      </c>
    </row>
    <row r="11" spans="1:13" ht="16.5" customHeight="1" x14ac:dyDescent="0.4">
      <c r="A11" s="39" t="s">
        <v>393</v>
      </c>
      <c r="B11" s="40">
        <f ca="1">C25</f>
        <v>3108.6828381561404</v>
      </c>
      <c r="C11" s="41">
        <f ca="1">C26</f>
        <v>18298.444456795904</v>
      </c>
      <c r="D11" s="42" t="s">
        <v>369</v>
      </c>
      <c r="E11" s="176">
        <f ca="1">B11/$I$5</f>
        <v>19.071673853718654</v>
      </c>
    </row>
    <row r="12" spans="1:13" ht="16.5" customHeight="1" x14ac:dyDescent="0.4">
      <c r="A12" s="35" t="s">
        <v>370</v>
      </c>
      <c r="B12" s="36">
        <f ca="1">C38</f>
        <v>3561.9179126467739</v>
      </c>
      <c r="C12" s="37">
        <f ca="1">C39</f>
        <v>20966.293596838044</v>
      </c>
      <c r="D12" s="38" t="s">
        <v>394</v>
      </c>
      <c r="E12" s="177">
        <f ca="1">B12/$I$5</f>
        <v>21.852257132802293</v>
      </c>
    </row>
    <row r="13" spans="1:13" ht="16.5" customHeight="1" x14ac:dyDescent="0.4">
      <c r="A13" s="43" t="s">
        <v>372</v>
      </c>
      <c r="B13" s="44">
        <f ca="1">C51</f>
        <v>3837.6964967052318</v>
      </c>
      <c r="C13" s="45">
        <f ca="1">C52</f>
        <v>22589.591747691105</v>
      </c>
      <c r="D13" s="46" t="s">
        <v>371</v>
      </c>
      <c r="E13" s="178">
        <f ca="1">B13/$I$5</f>
        <v>23.544150286535164</v>
      </c>
    </row>
    <row r="14" spans="1:13" ht="16.5" customHeight="1" x14ac:dyDescent="0.4"/>
    <row r="15" spans="1:13" x14ac:dyDescent="0.4">
      <c r="A15" s="17" t="s">
        <v>395</v>
      </c>
      <c r="B15" s="21">
        <v>1</v>
      </c>
    </row>
    <row r="16" spans="1:13" x14ac:dyDescent="0.4">
      <c r="A16" s="16" t="s">
        <v>396</v>
      </c>
      <c r="B16" s="200">
        <f>$F$7</f>
        <v>45657</v>
      </c>
      <c r="C16" s="200">
        <f t="shared" ref="C16:L16" si="0">B16+365</f>
        <v>46022</v>
      </c>
      <c r="D16" s="200">
        <f t="shared" si="0"/>
        <v>46387</v>
      </c>
      <c r="E16" s="200">
        <f t="shared" si="0"/>
        <v>46752</v>
      </c>
      <c r="F16" s="200">
        <f t="shared" si="0"/>
        <v>47117</v>
      </c>
      <c r="G16" s="200">
        <f t="shared" si="0"/>
        <v>47482</v>
      </c>
      <c r="H16" s="200">
        <f t="shared" si="0"/>
        <v>47847</v>
      </c>
      <c r="I16" s="200">
        <f t="shared" si="0"/>
        <v>48212</v>
      </c>
      <c r="J16" s="200">
        <f t="shared" si="0"/>
        <v>48577</v>
      </c>
      <c r="K16" s="200">
        <f t="shared" si="0"/>
        <v>48942</v>
      </c>
      <c r="L16" s="200">
        <f t="shared" si="0"/>
        <v>49307</v>
      </c>
    </row>
    <row r="17" spans="1:12" x14ac:dyDescent="0.4">
      <c r="A17" s="15" t="s">
        <v>354</v>
      </c>
      <c r="B17" s="19">
        <f>$B$3</f>
        <v>0.1026</v>
      </c>
      <c r="C17" s="19">
        <f t="shared" ref="C17:L17" si="1">B17</f>
        <v>0.1026</v>
      </c>
      <c r="D17" s="19">
        <f t="shared" si="1"/>
        <v>0.1026</v>
      </c>
      <c r="E17" s="19">
        <f t="shared" si="1"/>
        <v>0.1026</v>
      </c>
      <c r="F17" s="19">
        <f t="shared" si="1"/>
        <v>0.1026</v>
      </c>
      <c r="G17" s="19">
        <f t="shared" si="1"/>
        <v>0.1026</v>
      </c>
      <c r="H17" s="19">
        <f t="shared" si="1"/>
        <v>0.1026</v>
      </c>
      <c r="I17" s="19">
        <f t="shared" si="1"/>
        <v>0.1026</v>
      </c>
      <c r="J17" s="19">
        <f t="shared" si="1"/>
        <v>0.1026</v>
      </c>
      <c r="K17" s="19">
        <f t="shared" si="1"/>
        <v>0.1026</v>
      </c>
      <c r="L17" s="19">
        <f t="shared" si="1"/>
        <v>0.1026</v>
      </c>
    </row>
    <row r="18" spans="1:12" x14ac:dyDescent="0.4">
      <c r="A18" s="15" t="s">
        <v>397</v>
      </c>
      <c r="B18" s="19">
        <f ca="1">$B$7-B17</f>
        <v>-3.5383333333333336E-2</v>
      </c>
      <c r="C18" s="19">
        <f t="shared" ref="C18:L18" ca="1" si="2">IF(YEAR(C16)&gt;$J$7,0,B18*$B$15)</f>
        <v>-3.5383333333333336E-2</v>
      </c>
      <c r="D18" s="19">
        <f t="shared" ca="1" si="2"/>
        <v>-3.5383333333333336E-2</v>
      </c>
      <c r="E18" s="19">
        <f t="shared" ca="1" si="2"/>
        <v>-3.5383333333333336E-2</v>
      </c>
      <c r="F18" s="19">
        <f t="shared" ca="1" si="2"/>
        <v>-3.5383333333333336E-2</v>
      </c>
      <c r="G18" s="19">
        <f t="shared" ca="1" si="2"/>
        <v>-3.5383333333333336E-2</v>
      </c>
      <c r="H18" s="19">
        <f t="shared" ca="1" si="2"/>
        <v>-3.5383333333333336E-2</v>
      </c>
      <c r="I18" s="19">
        <f t="shared" ca="1" si="2"/>
        <v>-3.5383333333333336E-2</v>
      </c>
      <c r="J18" s="19">
        <f t="shared" ca="1" si="2"/>
        <v>-3.5383333333333336E-2</v>
      </c>
      <c r="K18" s="19">
        <f t="shared" ca="1" si="2"/>
        <v>-3.5383333333333336E-2</v>
      </c>
      <c r="L18" s="19">
        <f t="shared" ca="1" si="2"/>
        <v>-3.5383333333333336E-2</v>
      </c>
    </row>
    <row r="19" spans="1:12" x14ac:dyDescent="0.4">
      <c r="A19" s="15" t="s">
        <v>249</v>
      </c>
      <c r="B19" s="19">
        <f t="shared" ref="B19:L19" ca="1" si="3">B17+B18</f>
        <v>6.7216666666666661E-2</v>
      </c>
      <c r="C19" s="19">
        <f t="shared" ca="1" si="3"/>
        <v>6.7216666666666661E-2</v>
      </c>
      <c r="D19" s="19">
        <f t="shared" ca="1" si="3"/>
        <v>6.7216666666666661E-2</v>
      </c>
      <c r="E19" s="19">
        <f t="shared" ca="1" si="3"/>
        <v>6.7216666666666661E-2</v>
      </c>
      <c r="F19" s="19">
        <f t="shared" ca="1" si="3"/>
        <v>6.7216666666666661E-2</v>
      </c>
      <c r="G19" s="19">
        <f t="shared" ca="1" si="3"/>
        <v>6.7216666666666661E-2</v>
      </c>
      <c r="H19" s="19">
        <f t="shared" ca="1" si="3"/>
        <v>6.7216666666666661E-2</v>
      </c>
      <c r="I19" s="19">
        <f t="shared" ca="1" si="3"/>
        <v>6.7216666666666661E-2</v>
      </c>
      <c r="J19" s="19">
        <f t="shared" ca="1" si="3"/>
        <v>6.7216666666666661E-2</v>
      </c>
      <c r="K19" s="19">
        <f t="shared" ca="1" si="3"/>
        <v>6.7216666666666661E-2</v>
      </c>
      <c r="L19" s="19">
        <f t="shared" ca="1" si="3"/>
        <v>6.7216666666666661E-2</v>
      </c>
    </row>
    <row r="20" spans="1:12" x14ac:dyDescent="0.4">
      <c r="A20" s="15" t="s">
        <v>385</v>
      </c>
      <c r="B20" s="20"/>
      <c r="C20" s="20">
        <f t="shared" ref="C20:L20" ca="1" si="4">B21*C19</f>
        <v>257.10374999999999</v>
      </c>
      <c r="D20" s="20">
        <f t="shared" ca="1" si="4"/>
        <v>274.38540706250001</v>
      </c>
      <c r="E20" s="20">
        <f t="shared" ca="1" si="4"/>
        <v>292.82867950721771</v>
      </c>
      <c r="F20" s="20">
        <f t="shared" ca="1" si="4"/>
        <v>312.51164724809456</v>
      </c>
      <c r="G20" s="20">
        <f t="shared" ca="1" si="4"/>
        <v>333.51763847062068</v>
      </c>
      <c r="H20" s="20">
        <f t="shared" ca="1" si="4"/>
        <v>355.93558240315423</v>
      </c>
      <c r="I20" s="20">
        <f t="shared" ca="1" si="4"/>
        <v>379.86038580035296</v>
      </c>
      <c r="J20" s="20">
        <f t="shared" ca="1" si="4"/>
        <v>405.39333473256664</v>
      </c>
      <c r="K20" s="20">
        <f t="shared" ca="1" si="4"/>
        <v>432.64252338217398</v>
      </c>
      <c r="L20" s="20">
        <f t="shared" ca="1" si="4"/>
        <v>461.72331166217907</v>
      </c>
    </row>
    <row r="21" spans="1:12" x14ac:dyDescent="0.4">
      <c r="A21" s="15" t="s">
        <v>383</v>
      </c>
      <c r="B21" s="20">
        <f ca="1">$F$8</f>
        <v>3825</v>
      </c>
      <c r="C21" s="20">
        <f t="shared" ref="C21:L21" ca="1" si="5">B21+C20</f>
        <v>4082.1037500000002</v>
      </c>
      <c r="D21" s="20">
        <f t="shared" ca="1" si="5"/>
        <v>4356.4891570625005</v>
      </c>
      <c r="E21" s="20">
        <f t="shared" ca="1" si="5"/>
        <v>4649.3178365697186</v>
      </c>
      <c r="F21" s="20">
        <f t="shared" ca="1" si="5"/>
        <v>4961.8294838178135</v>
      </c>
      <c r="G21" s="20">
        <f t="shared" ca="1" si="5"/>
        <v>5295.3471222884345</v>
      </c>
      <c r="H21" s="20">
        <f t="shared" ca="1" si="5"/>
        <v>5651.2827046915891</v>
      </c>
      <c r="I21" s="20">
        <f t="shared" ca="1" si="5"/>
        <v>6031.1430904919416</v>
      </c>
      <c r="J21" s="20">
        <f t="shared" ca="1" si="5"/>
        <v>6436.5364252245081</v>
      </c>
      <c r="K21" s="20">
        <f t="shared" ca="1" si="5"/>
        <v>6869.1789486066818</v>
      </c>
      <c r="L21" s="20">
        <f t="shared" ca="1" si="5"/>
        <v>7330.902260268861</v>
      </c>
    </row>
    <row r="22" spans="1:12" x14ac:dyDescent="0.4">
      <c r="A22" s="15" t="s">
        <v>398</v>
      </c>
      <c r="B22" s="20"/>
      <c r="C22" s="20">
        <f t="shared" ref="C22:L22" ca="1" si="6">C20-B21*C17</f>
        <v>-135.34125</v>
      </c>
      <c r="D22" s="20">
        <f t="shared" ca="1" si="6"/>
        <v>-144.43843768750003</v>
      </c>
      <c r="E22" s="20">
        <f t="shared" ca="1" si="6"/>
        <v>-154.14710800739482</v>
      </c>
      <c r="F22" s="20">
        <f t="shared" ca="1" si="6"/>
        <v>-164.50836278395855</v>
      </c>
      <c r="G22" s="20">
        <f t="shared" ca="1" si="6"/>
        <v>-175.56606656908696</v>
      </c>
      <c r="H22" s="20">
        <f t="shared" ca="1" si="6"/>
        <v>-187.3670323436391</v>
      </c>
      <c r="I22" s="20">
        <f t="shared" ca="1" si="6"/>
        <v>-199.96121970100404</v>
      </c>
      <c r="J22" s="20">
        <f t="shared" ca="1" si="6"/>
        <v>-213.40194635190659</v>
      </c>
      <c r="K22" s="20">
        <f t="shared" ca="1" si="6"/>
        <v>-227.74611384586058</v>
      </c>
      <c r="L22" s="20">
        <f t="shared" ca="1" si="6"/>
        <v>-243.05444846486648</v>
      </c>
    </row>
    <row r="23" spans="1:12" x14ac:dyDescent="0.4">
      <c r="A23" s="15" t="s">
        <v>399</v>
      </c>
      <c r="B23" s="62">
        <f ca="1">NPV($B$3,C22:L22)</f>
        <v>-1064.5648563881809</v>
      </c>
    </row>
    <row r="24" spans="1:12" ht="16.5" customHeight="1" x14ac:dyDescent="0.4">
      <c r="B24" s="47" t="s">
        <v>400</v>
      </c>
      <c r="C24" s="47" t="s">
        <v>401</v>
      </c>
    </row>
    <row r="25" spans="1:12" x14ac:dyDescent="0.4">
      <c r="A25" s="15" t="s">
        <v>402</v>
      </c>
      <c r="B25" s="63">
        <f ca="1">B21+B23</f>
        <v>2760.4351436118191</v>
      </c>
      <c r="C25" s="63">
        <f ca="1">B25/(1+$B$3)^($H$8/365)</f>
        <v>3108.6828381561404</v>
      </c>
    </row>
    <row r="26" spans="1:12" x14ac:dyDescent="0.4">
      <c r="A26" s="15" t="s">
        <v>363</v>
      </c>
      <c r="B26" s="23">
        <f ca="1">B25*100000000/($B$4-$B$5)</f>
        <v>16248.575934471459</v>
      </c>
      <c r="C26" s="23">
        <f ca="1">B26/(1+$B$3)^($H$8/365)</f>
        <v>18298.444456795904</v>
      </c>
    </row>
    <row r="28" spans="1:12" x14ac:dyDescent="0.4">
      <c r="A28" s="17" t="s">
        <v>395</v>
      </c>
      <c r="B28" s="21">
        <v>0.9</v>
      </c>
    </row>
    <row r="29" spans="1:12" x14ac:dyDescent="0.4">
      <c r="A29" s="16" t="s">
        <v>396</v>
      </c>
      <c r="B29" s="200">
        <f>$F$7</f>
        <v>45657</v>
      </c>
      <c r="C29" s="200">
        <f t="shared" ref="C29:L29" si="7">B29+365</f>
        <v>46022</v>
      </c>
      <c r="D29" s="200">
        <f t="shared" si="7"/>
        <v>46387</v>
      </c>
      <c r="E29" s="200">
        <f t="shared" si="7"/>
        <v>46752</v>
      </c>
      <c r="F29" s="200">
        <f t="shared" si="7"/>
        <v>47117</v>
      </c>
      <c r="G29" s="200">
        <f t="shared" si="7"/>
        <v>47482</v>
      </c>
      <c r="H29" s="200">
        <f t="shared" si="7"/>
        <v>47847</v>
      </c>
      <c r="I29" s="200">
        <f t="shared" si="7"/>
        <v>48212</v>
      </c>
      <c r="J29" s="200">
        <f t="shared" si="7"/>
        <v>48577</v>
      </c>
      <c r="K29" s="200">
        <f t="shared" si="7"/>
        <v>48942</v>
      </c>
      <c r="L29" s="200">
        <f t="shared" si="7"/>
        <v>49307</v>
      </c>
    </row>
    <row r="30" spans="1:12" x14ac:dyDescent="0.4">
      <c r="A30" s="15" t="s">
        <v>354</v>
      </c>
      <c r="B30" s="19">
        <f>$B$3</f>
        <v>0.1026</v>
      </c>
      <c r="C30" s="19">
        <f t="shared" ref="C30:L30" si="8">B30</f>
        <v>0.1026</v>
      </c>
      <c r="D30" s="19">
        <f t="shared" si="8"/>
        <v>0.1026</v>
      </c>
      <c r="E30" s="19">
        <f t="shared" si="8"/>
        <v>0.1026</v>
      </c>
      <c r="F30" s="19">
        <f t="shared" si="8"/>
        <v>0.1026</v>
      </c>
      <c r="G30" s="19">
        <f t="shared" si="8"/>
        <v>0.1026</v>
      </c>
      <c r="H30" s="19">
        <f t="shared" si="8"/>
        <v>0.1026</v>
      </c>
      <c r="I30" s="19">
        <f t="shared" si="8"/>
        <v>0.1026</v>
      </c>
      <c r="J30" s="19">
        <f t="shared" si="8"/>
        <v>0.1026</v>
      </c>
      <c r="K30" s="19">
        <f t="shared" si="8"/>
        <v>0.1026</v>
      </c>
      <c r="L30" s="19">
        <f t="shared" si="8"/>
        <v>0.1026</v>
      </c>
    </row>
    <row r="31" spans="1:12" x14ac:dyDescent="0.4">
      <c r="A31" s="15" t="s">
        <v>397</v>
      </c>
      <c r="B31" s="19">
        <f ca="1">$B$7-B30</f>
        <v>-3.5383333333333336E-2</v>
      </c>
      <c r="C31" s="19">
        <f t="shared" ref="C31:L31" ca="1" si="9">IF(YEAR(C16)&gt;$J$7,0,B31*$B$28)</f>
        <v>-3.1845000000000005E-2</v>
      </c>
      <c r="D31" s="19">
        <f t="shared" ca="1" si="9"/>
        <v>-2.8660500000000005E-2</v>
      </c>
      <c r="E31" s="19">
        <f t="shared" ca="1" si="9"/>
        <v>-2.5794450000000007E-2</v>
      </c>
      <c r="F31" s="19">
        <f t="shared" ca="1" si="9"/>
        <v>-2.3215005000000007E-2</v>
      </c>
      <c r="G31" s="19">
        <f t="shared" ca="1" si="9"/>
        <v>-2.0893504500000007E-2</v>
      </c>
      <c r="H31" s="19">
        <f t="shared" ca="1" si="9"/>
        <v>-1.8804154050000008E-2</v>
      </c>
      <c r="I31" s="19">
        <f t="shared" ca="1" si="9"/>
        <v>-1.6923738645000009E-2</v>
      </c>
      <c r="J31" s="19">
        <f t="shared" ca="1" si="9"/>
        <v>-1.5231364780500009E-2</v>
      </c>
      <c r="K31" s="19">
        <f t="shared" ca="1" si="9"/>
        <v>-1.3708228302450009E-2</v>
      </c>
      <c r="L31" s="19">
        <f t="shared" ca="1" si="9"/>
        <v>-1.2337405472205009E-2</v>
      </c>
    </row>
    <row r="32" spans="1:12" x14ac:dyDescent="0.4">
      <c r="A32" s="15" t="s">
        <v>249</v>
      </c>
      <c r="B32" s="19">
        <f t="shared" ref="B32:L32" ca="1" si="10">B30+B31</f>
        <v>6.7216666666666661E-2</v>
      </c>
      <c r="C32" s="19">
        <f t="shared" ca="1" si="10"/>
        <v>7.0754999999999985E-2</v>
      </c>
      <c r="D32" s="19">
        <f t="shared" ca="1" si="10"/>
        <v>7.3939499999999991E-2</v>
      </c>
      <c r="E32" s="19">
        <f t="shared" ca="1" si="10"/>
        <v>7.6805549999999986E-2</v>
      </c>
      <c r="F32" s="19">
        <f t="shared" ca="1" si="10"/>
        <v>7.9384994999999986E-2</v>
      </c>
      <c r="G32" s="19">
        <f t="shared" ca="1" si="10"/>
        <v>8.170649549999999E-2</v>
      </c>
      <c r="H32" s="19">
        <f t="shared" ca="1" si="10"/>
        <v>8.3795845949999989E-2</v>
      </c>
      <c r="I32" s="19">
        <f t="shared" ca="1" si="10"/>
        <v>8.5676261354999991E-2</v>
      </c>
      <c r="J32" s="19">
        <f t="shared" ca="1" si="10"/>
        <v>8.7368635219499988E-2</v>
      </c>
      <c r="K32" s="19">
        <f t="shared" ca="1" si="10"/>
        <v>8.8891771697549984E-2</v>
      </c>
      <c r="L32" s="19">
        <f t="shared" ca="1" si="10"/>
        <v>9.026259452779499E-2</v>
      </c>
    </row>
    <row r="33" spans="1:12" x14ac:dyDescent="0.4">
      <c r="A33" s="15" t="s">
        <v>385</v>
      </c>
      <c r="B33" s="20"/>
      <c r="C33" s="20">
        <f t="shared" ref="C33:L33" ca="1" si="11">B34*C32</f>
        <v>270.63787499999995</v>
      </c>
      <c r="D33" s="20">
        <f t="shared" ca="1" si="11"/>
        <v>302.82941665856248</v>
      </c>
      <c r="E33" s="20">
        <f t="shared" ca="1" si="11"/>
        <v>337.82669949284622</v>
      </c>
      <c r="F33" s="20">
        <f t="shared" ca="1" si="11"/>
        <v>375.99067480608454</v>
      </c>
      <c r="G33" s="20">
        <f t="shared" ca="1" si="11"/>
        <v>417.70686405377489</v>
      </c>
      <c r="H33" s="20">
        <f t="shared" ca="1" si="11"/>
        <v>463.39031835362897</v>
      </c>
      <c r="I33" s="20">
        <f t="shared" ca="1" si="11"/>
        <v>513.49054964082382</v>
      </c>
      <c r="J33" s="20">
        <f t="shared" ca="1" si="11"/>
        <v>568.49656096119486</v>
      </c>
      <c r="K33" s="20">
        <f t="shared" ca="1" si="11"/>
        <v>628.94208217641892</v>
      </c>
      <c r="L33" s="20">
        <f t="shared" ca="1" si="11"/>
        <v>695.4111036227348</v>
      </c>
    </row>
    <row r="34" spans="1:12" x14ac:dyDescent="0.4">
      <c r="A34" s="15" t="s">
        <v>383</v>
      </c>
      <c r="B34" s="20">
        <f ca="1">$F$8</f>
        <v>3825</v>
      </c>
      <c r="C34" s="20">
        <f t="shared" ref="C34:L34" ca="1" si="12">B34+C33</f>
        <v>4095.6378749999999</v>
      </c>
      <c r="D34" s="20">
        <f t="shared" ca="1" si="12"/>
        <v>4398.4672916585623</v>
      </c>
      <c r="E34" s="20">
        <f t="shared" ca="1" si="12"/>
        <v>4736.2939911514086</v>
      </c>
      <c r="F34" s="20">
        <f t="shared" ca="1" si="12"/>
        <v>5112.2846659574934</v>
      </c>
      <c r="G34" s="20">
        <f t="shared" ca="1" si="12"/>
        <v>5529.991530011268</v>
      </c>
      <c r="H34" s="20">
        <f t="shared" ca="1" si="12"/>
        <v>5993.3818483648965</v>
      </c>
      <c r="I34" s="20">
        <f t="shared" ca="1" si="12"/>
        <v>6506.8723980057202</v>
      </c>
      <c r="J34" s="20">
        <f t="shared" ca="1" si="12"/>
        <v>7075.3689589669148</v>
      </c>
      <c r="K34" s="20">
        <f t="shared" ca="1" si="12"/>
        <v>7704.3110411433336</v>
      </c>
      <c r="L34" s="20">
        <f t="shared" ca="1" si="12"/>
        <v>8399.7221447660686</v>
      </c>
    </row>
    <row r="35" spans="1:12" x14ac:dyDescent="0.4">
      <c r="A35" s="15" t="s">
        <v>398</v>
      </c>
      <c r="B35" s="20"/>
      <c r="C35" s="20">
        <f t="shared" ref="C35:L35" ca="1" si="13">C33-B34*C30</f>
        <v>-121.80712500000004</v>
      </c>
      <c r="D35" s="20">
        <f t="shared" ca="1" si="13"/>
        <v>-117.3830293164375</v>
      </c>
      <c r="E35" s="20">
        <f t="shared" ca="1" si="13"/>
        <v>-113.45604463132224</v>
      </c>
      <c r="F35" s="20">
        <f t="shared" ca="1" si="13"/>
        <v>-109.95308868604997</v>
      </c>
      <c r="G35" s="20">
        <f t="shared" ca="1" si="13"/>
        <v>-106.81354267346387</v>
      </c>
      <c r="H35" s="20">
        <f t="shared" ca="1" si="13"/>
        <v>-103.98681262552708</v>
      </c>
      <c r="I35" s="20">
        <f t="shared" ca="1" si="13"/>
        <v>-101.4304280014145</v>
      </c>
      <c r="J35" s="20">
        <f t="shared" ca="1" si="13"/>
        <v>-99.108547074191961</v>
      </c>
      <c r="K35" s="20">
        <f t="shared" ca="1" si="13"/>
        <v>-96.990773013586477</v>
      </c>
      <c r="L35" s="20">
        <f t="shared" ca="1" si="13"/>
        <v>-95.0512091985712</v>
      </c>
    </row>
    <row r="36" spans="1:12" x14ac:dyDescent="0.4">
      <c r="A36" s="15" t="s">
        <v>399</v>
      </c>
      <c r="B36" s="62">
        <f ca="1">NPV($B$3,C35:L35)</f>
        <v>-662.10307656777672</v>
      </c>
    </row>
    <row r="37" spans="1:12" ht="16.5" customHeight="1" x14ac:dyDescent="0.4">
      <c r="B37" s="47" t="s">
        <v>400</v>
      </c>
      <c r="C37" s="47" t="s">
        <v>401</v>
      </c>
    </row>
    <row r="38" spans="1:12" x14ac:dyDescent="0.4">
      <c r="A38" s="15" t="s">
        <v>402</v>
      </c>
      <c r="B38" s="63">
        <f ca="1">B34+B36</f>
        <v>3162.896923432223</v>
      </c>
      <c r="C38" s="63">
        <f ca="1">B38/(1+$B$3)^($H$8/365)</f>
        <v>3561.9179126467739</v>
      </c>
    </row>
    <row r="39" spans="1:12" x14ac:dyDescent="0.4">
      <c r="A39" s="15" t="s">
        <v>363</v>
      </c>
      <c r="B39" s="23">
        <f ca="1">B38*100000000/($B$4-$B$5)</f>
        <v>18617.561420425685</v>
      </c>
      <c r="C39" s="23">
        <f ca="1">B39/(1+$B$3)^($H$8/365)</f>
        <v>20966.293596838044</v>
      </c>
    </row>
    <row r="41" spans="1:12" x14ac:dyDescent="0.4">
      <c r="A41" s="17" t="s">
        <v>395</v>
      </c>
      <c r="B41" s="21">
        <v>0.8</v>
      </c>
    </row>
    <row r="42" spans="1:12" x14ac:dyDescent="0.4">
      <c r="A42" s="16" t="s">
        <v>396</v>
      </c>
      <c r="B42" s="200">
        <f>$F$7</f>
        <v>45657</v>
      </c>
      <c r="C42" s="200">
        <f t="shared" ref="C42:L42" si="14">B42+365</f>
        <v>46022</v>
      </c>
      <c r="D42" s="200">
        <f t="shared" si="14"/>
        <v>46387</v>
      </c>
      <c r="E42" s="200">
        <f t="shared" si="14"/>
        <v>46752</v>
      </c>
      <c r="F42" s="200">
        <f t="shared" si="14"/>
        <v>47117</v>
      </c>
      <c r="G42" s="200">
        <f t="shared" si="14"/>
        <v>47482</v>
      </c>
      <c r="H42" s="200">
        <f t="shared" si="14"/>
        <v>47847</v>
      </c>
      <c r="I42" s="200">
        <f t="shared" si="14"/>
        <v>48212</v>
      </c>
      <c r="J42" s="200">
        <f t="shared" si="14"/>
        <v>48577</v>
      </c>
      <c r="K42" s="200">
        <f t="shared" si="14"/>
        <v>48942</v>
      </c>
      <c r="L42" s="200">
        <f t="shared" si="14"/>
        <v>49307</v>
      </c>
    </row>
    <row r="43" spans="1:12" x14ac:dyDescent="0.4">
      <c r="A43" s="15" t="s">
        <v>354</v>
      </c>
      <c r="B43" s="19">
        <f>$B$3</f>
        <v>0.1026</v>
      </c>
      <c r="C43" s="19">
        <f t="shared" ref="C43:L43" si="15">B43</f>
        <v>0.1026</v>
      </c>
      <c r="D43" s="19">
        <f t="shared" si="15"/>
        <v>0.1026</v>
      </c>
      <c r="E43" s="19">
        <f t="shared" si="15"/>
        <v>0.1026</v>
      </c>
      <c r="F43" s="19">
        <f t="shared" si="15"/>
        <v>0.1026</v>
      </c>
      <c r="G43" s="19">
        <f t="shared" si="15"/>
        <v>0.1026</v>
      </c>
      <c r="H43" s="19">
        <f t="shared" si="15"/>
        <v>0.1026</v>
      </c>
      <c r="I43" s="19">
        <f t="shared" si="15"/>
        <v>0.1026</v>
      </c>
      <c r="J43" s="19">
        <f t="shared" si="15"/>
        <v>0.1026</v>
      </c>
      <c r="K43" s="19">
        <f t="shared" si="15"/>
        <v>0.1026</v>
      </c>
      <c r="L43" s="19">
        <f t="shared" si="15"/>
        <v>0.1026</v>
      </c>
    </row>
    <row r="44" spans="1:12" x14ac:dyDescent="0.4">
      <c r="A44" s="15" t="s">
        <v>397</v>
      </c>
      <c r="B44" s="19">
        <f ca="1">$B$7-B43</f>
        <v>-3.5383333333333336E-2</v>
      </c>
      <c r="C44" s="19">
        <f t="shared" ref="C44:L44" ca="1" si="16">IF(YEAR(C16)&gt;$J$7,0,B44*$B$41)</f>
        <v>-2.8306666666666671E-2</v>
      </c>
      <c r="D44" s="19">
        <f t="shared" ca="1" si="16"/>
        <v>-2.2645333333333337E-2</v>
      </c>
      <c r="E44" s="19">
        <f t="shared" ca="1" si="16"/>
        <v>-1.8116266666666669E-2</v>
      </c>
      <c r="F44" s="19">
        <f t="shared" ca="1" si="16"/>
        <v>-1.4493013333333336E-2</v>
      </c>
      <c r="G44" s="19">
        <f t="shared" ca="1" si="16"/>
        <v>-1.1594410666666669E-2</v>
      </c>
      <c r="H44" s="19">
        <f t="shared" ca="1" si="16"/>
        <v>-9.2755285333333357E-3</v>
      </c>
      <c r="I44" s="19">
        <f t="shared" ca="1" si="16"/>
        <v>-7.4204228266666686E-3</v>
      </c>
      <c r="J44" s="19">
        <f t="shared" ca="1" si="16"/>
        <v>-5.9363382613333354E-3</v>
      </c>
      <c r="K44" s="19">
        <f t="shared" ca="1" si="16"/>
        <v>-4.7490706090666688E-3</v>
      </c>
      <c r="L44" s="19">
        <f t="shared" ca="1" si="16"/>
        <v>-3.7992564872533353E-3</v>
      </c>
    </row>
    <row r="45" spans="1:12" x14ac:dyDescent="0.4">
      <c r="A45" s="15" t="s">
        <v>249</v>
      </c>
      <c r="B45" s="19">
        <f t="shared" ref="B45:L45" ca="1" si="17">B43+B44</f>
        <v>6.7216666666666661E-2</v>
      </c>
      <c r="C45" s="19">
        <f t="shared" ca="1" si="17"/>
        <v>7.4293333333333322E-2</v>
      </c>
      <c r="D45" s="19">
        <f t="shared" ca="1" si="17"/>
        <v>7.995466666666666E-2</v>
      </c>
      <c r="E45" s="19">
        <f t="shared" ca="1" si="17"/>
        <v>8.4483733333333325E-2</v>
      </c>
      <c r="F45" s="19">
        <f t="shared" ca="1" si="17"/>
        <v>8.8106986666666665E-2</v>
      </c>
      <c r="G45" s="19">
        <f t="shared" ca="1" si="17"/>
        <v>9.1005589333333331E-2</v>
      </c>
      <c r="H45" s="19">
        <f t="shared" ca="1" si="17"/>
        <v>9.3324471466666656E-2</v>
      </c>
      <c r="I45" s="19">
        <f t="shared" ca="1" si="17"/>
        <v>9.5179577173333335E-2</v>
      </c>
      <c r="J45" s="19">
        <f t="shared" ca="1" si="17"/>
        <v>9.6663661738666667E-2</v>
      </c>
      <c r="K45" s="19">
        <f t="shared" ca="1" si="17"/>
        <v>9.7850929390933331E-2</v>
      </c>
      <c r="L45" s="19">
        <f t="shared" ca="1" si="17"/>
        <v>9.8800743512746661E-2</v>
      </c>
    </row>
    <row r="46" spans="1:12" x14ac:dyDescent="0.4">
      <c r="A46" s="15" t="s">
        <v>385</v>
      </c>
      <c r="B46" s="20"/>
      <c r="C46" s="20">
        <f t="shared" ref="C46:L46" ca="1" si="18">B47*C45</f>
        <v>284.17199999999997</v>
      </c>
      <c r="D46" s="20">
        <f t="shared" ca="1" si="18"/>
        <v>328.54747753599992</v>
      </c>
      <c r="E46" s="20">
        <f t="shared" ca="1" si="18"/>
        <v>374.91510894829065</v>
      </c>
      <c r="F46" s="20">
        <f t="shared" ca="1" si="18"/>
        <v>424.02673134291013</v>
      </c>
      <c r="G46" s="20">
        <f t="shared" ca="1" si="18"/>
        <v>476.56544936793432</v>
      </c>
      <c r="H46" s="20">
        <f t="shared" ca="1" si="18"/>
        <v>533.18386841769848</v>
      </c>
      <c r="I46" s="20">
        <f t="shared" ca="1" si="18"/>
        <v>594.53072314864175</v>
      </c>
      <c r="J46" s="20">
        <f t="shared" ca="1" si="18"/>
        <v>661.27044147737388</v>
      </c>
      <c r="K46" s="20">
        <f t="shared" ca="1" si="18"/>
        <v>734.09839714099837</v>
      </c>
      <c r="L46" s="20">
        <f t="shared" ca="1" si="18"/>
        <v>813.7535713027462</v>
      </c>
    </row>
    <row r="47" spans="1:12" x14ac:dyDescent="0.4">
      <c r="A47" s="15" t="s">
        <v>383</v>
      </c>
      <c r="B47" s="20">
        <f ca="1">$F$8</f>
        <v>3825</v>
      </c>
      <c r="C47" s="20">
        <f t="shared" ref="C47:L47" ca="1" si="19">B47+C46</f>
        <v>4109.1719999999996</v>
      </c>
      <c r="D47" s="20">
        <f t="shared" ca="1" si="19"/>
        <v>4437.7194775359994</v>
      </c>
      <c r="E47" s="20">
        <f t="shared" ca="1" si="19"/>
        <v>4812.6345864842897</v>
      </c>
      <c r="F47" s="20">
        <f t="shared" ca="1" si="19"/>
        <v>5236.6613178272</v>
      </c>
      <c r="G47" s="20">
        <f t="shared" ca="1" si="19"/>
        <v>5713.226767195134</v>
      </c>
      <c r="H47" s="20">
        <f t="shared" ca="1" si="19"/>
        <v>6246.4106356128323</v>
      </c>
      <c r="I47" s="20">
        <f t="shared" ca="1" si="19"/>
        <v>6840.9413587614745</v>
      </c>
      <c r="J47" s="20">
        <f t="shared" ca="1" si="19"/>
        <v>7502.2118002388488</v>
      </c>
      <c r="K47" s="20">
        <f t="shared" ca="1" si="19"/>
        <v>8236.3101973798475</v>
      </c>
      <c r="L47" s="20">
        <f t="shared" ca="1" si="19"/>
        <v>9050.0637686825939</v>
      </c>
    </row>
    <row r="48" spans="1:12" x14ac:dyDescent="0.4">
      <c r="A48" s="15" t="s">
        <v>398</v>
      </c>
      <c r="B48" s="20"/>
      <c r="C48" s="20">
        <f t="shared" ref="C48:L48" ca="1" si="20">C46-B47*C43</f>
        <v>-108.27300000000002</v>
      </c>
      <c r="D48" s="20">
        <f t="shared" ca="1" si="20"/>
        <v>-93.053569664000008</v>
      </c>
      <c r="E48" s="20">
        <f t="shared" ca="1" si="20"/>
        <v>-80.394909446902886</v>
      </c>
      <c r="F48" s="20">
        <f t="shared" ca="1" si="20"/>
        <v>-69.749577230378009</v>
      </c>
      <c r="G48" s="20">
        <f t="shared" ca="1" si="20"/>
        <v>-60.716001841136404</v>
      </c>
      <c r="H48" s="20">
        <f t="shared" ca="1" si="20"/>
        <v>-52.993197896522247</v>
      </c>
      <c r="I48" s="20">
        <f t="shared" ca="1" si="20"/>
        <v>-46.351008065234851</v>
      </c>
      <c r="J48" s="20">
        <f t="shared" ca="1" si="20"/>
        <v>-40.610141931553358</v>
      </c>
      <c r="K48" s="20">
        <f t="shared" ca="1" si="20"/>
        <v>-35.628533563507517</v>
      </c>
      <c r="L48" s="20">
        <f t="shared" ca="1" si="20"/>
        <v>-31.291854948426135</v>
      </c>
    </row>
    <row r="49" spans="1:19" x14ac:dyDescent="0.4">
      <c r="A49" s="15" t="s">
        <v>399</v>
      </c>
      <c r="B49" s="62">
        <f ca="1">NPV($B$3,C48:L48)</f>
        <v>-417.21836657207768</v>
      </c>
    </row>
    <row r="50" spans="1:19" ht="16.5" customHeight="1" x14ac:dyDescent="0.4">
      <c r="B50" s="47" t="s">
        <v>400</v>
      </c>
      <c r="C50" s="47" t="s">
        <v>401</v>
      </c>
    </row>
    <row r="51" spans="1:19" x14ac:dyDescent="0.4">
      <c r="A51" s="15" t="s">
        <v>402</v>
      </c>
      <c r="B51" s="63">
        <f ca="1">B47+B49</f>
        <v>3407.7816334279223</v>
      </c>
      <c r="C51" s="63">
        <f ca="1">B51/(1+$B$3)^($H$8/365)</f>
        <v>3837.6964967052318</v>
      </c>
    </row>
    <row r="52" spans="1:19" x14ac:dyDescent="0.4">
      <c r="A52" s="15" t="s">
        <v>363</v>
      </c>
      <c r="B52" s="23">
        <f ca="1">B51*100000000/($B$4-$B$5)</f>
        <v>20059.010901593312</v>
      </c>
      <c r="C52" s="23">
        <f ca="1">B52/(1+$B$3)^($H$8/365)</f>
        <v>22589.591747691105</v>
      </c>
    </row>
    <row r="54" spans="1:19" x14ac:dyDescent="0.4">
      <c r="B54" s="1">
        <v>1</v>
      </c>
      <c r="C54" s="1">
        <v>2</v>
      </c>
      <c r="D54" s="1">
        <v>3</v>
      </c>
      <c r="E54" s="1">
        <v>4</v>
      </c>
      <c r="F54" s="1">
        <v>5</v>
      </c>
      <c r="G54" s="1" t="str">
        <f>IF($F$7&gt;G55-1,F54+1,"")</f>
        <v/>
      </c>
      <c r="H54" s="1" t="str">
        <f>IF($F$7&gt;H55-1,G54+1,"")</f>
        <v/>
      </c>
      <c r="I54" s="1" t="str">
        <f>IF($F$7&gt;I55-1,H54+1,"")</f>
        <v/>
      </c>
      <c r="J54" s="1">
        <f>MAX(B54:I54)+1</f>
        <v>6</v>
      </c>
      <c r="K54" s="1">
        <f t="shared" ref="K54:S54" si="21">J54+1</f>
        <v>7</v>
      </c>
      <c r="L54" s="1">
        <f t="shared" si="21"/>
        <v>8</v>
      </c>
      <c r="M54" s="1">
        <f t="shared" si="21"/>
        <v>9</v>
      </c>
      <c r="N54" s="1">
        <f t="shared" si="21"/>
        <v>10</v>
      </c>
      <c r="O54" s="1">
        <f t="shared" si="21"/>
        <v>11</v>
      </c>
      <c r="P54" s="1">
        <f t="shared" si="21"/>
        <v>12</v>
      </c>
      <c r="Q54" s="1">
        <f t="shared" si="21"/>
        <v>13</v>
      </c>
      <c r="R54" s="1">
        <f t="shared" si="21"/>
        <v>14</v>
      </c>
      <c r="S54" s="1">
        <f t="shared" si="21"/>
        <v>15</v>
      </c>
    </row>
    <row r="55" spans="1:19" x14ac:dyDescent="0.4">
      <c r="B55" s="175">
        <f t="shared" ref="B55:I56" si="22">E4</f>
        <v>44196</v>
      </c>
      <c r="C55" s="175">
        <f t="shared" si="22"/>
        <v>44561</v>
      </c>
      <c r="D55" s="175">
        <f t="shared" si="22"/>
        <v>44926</v>
      </c>
      <c r="E55" s="175">
        <f t="shared" si="22"/>
        <v>45291</v>
      </c>
      <c r="F55" s="175">
        <f t="shared" si="22"/>
        <v>45657</v>
      </c>
      <c r="G55" s="175">
        <f t="shared" si="22"/>
        <v>46022</v>
      </c>
      <c r="H55" s="175">
        <f t="shared" si="22"/>
        <v>46387</v>
      </c>
      <c r="I55" s="175">
        <f t="shared" si="22"/>
        <v>46752</v>
      </c>
      <c r="J55" s="180">
        <f t="shared" ref="J55:S55" si="23">C16</f>
        <v>46022</v>
      </c>
      <c r="K55" s="180">
        <f t="shared" si="23"/>
        <v>46387</v>
      </c>
      <c r="L55" s="180">
        <f t="shared" si="23"/>
        <v>46752</v>
      </c>
      <c r="M55" s="180">
        <f t="shared" si="23"/>
        <v>47117</v>
      </c>
      <c r="N55" s="180">
        <f t="shared" si="23"/>
        <v>47482</v>
      </c>
      <c r="O55" s="180">
        <f t="shared" si="23"/>
        <v>47847</v>
      </c>
      <c r="P55" s="180">
        <f t="shared" si="23"/>
        <v>48212</v>
      </c>
      <c r="Q55" s="180">
        <f t="shared" si="23"/>
        <v>48577</v>
      </c>
      <c r="R55" s="180">
        <f t="shared" si="23"/>
        <v>48942</v>
      </c>
      <c r="S55" s="180">
        <f t="shared" si="23"/>
        <v>49307</v>
      </c>
    </row>
    <row r="56" spans="1:19" x14ac:dyDescent="0.4">
      <c r="A56" s="1" t="s">
        <v>368</v>
      </c>
      <c r="B56" s="76">
        <f t="shared" si="22"/>
        <v>168</v>
      </c>
      <c r="C56" s="76">
        <f t="shared" si="22"/>
        <v>298</v>
      </c>
      <c r="D56" s="76">
        <f t="shared" si="22"/>
        <v>404</v>
      </c>
      <c r="E56" s="76">
        <f t="shared" si="22"/>
        <v>241</v>
      </c>
      <c r="F56" s="76">
        <f t="shared" si="22"/>
        <v>163</v>
      </c>
      <c r="G56" s="76">
        <f t="shared" si="22"/>
        <v>0</v>
      </c>
      <c r="H56" s="76">
        <f t="shared" si="22"/>
        <v>0</v>
      </c>
      <c r="I56" s="76">
        <f t="shared" si="22"/>
        <v>0</v>
      </c>
      <c r="J56" s="179">
        <f t="shared" ref="J56:S56" ca="1" si="24">C20</f>
        <v>257.10374999999999</v>
      </c>
      <c r="K56" s="179">
        <f t="shared" ca="1" si="24"/>
        <v>274.38540706250001</v>
      </c>
      <c r="L56" s="179">
        <f t="shared" ca="1" si="24"/>
        <v>292.82867950721771</v>
      </c>
      <c r="M56" s="179">
        <f t="shared" ca="1" si="24"/>
        <v>312.51164724809456</v>
      </c>
      <c r="N56" s="179">
        <f t="shared" ca="1" si="24"/>
        <v>333.51763847062068</v>
      </c>
      <c r="O56" s="179">
        <f t="shared" ca="1" si="24"/>
        <v>355.93558240315423</v>
      </c>
      <c r="P56" s="179">
        <f t="shared" ca="1" si="24"/>
        <v>379.86038580035296</v>
      </c>
      <c r="Q56" s="179">
        <f t="shared" ca="1" si="24"/>
        <v>405.39333473256664</v>
      </c>
      <c r="R56" s="179">
        <f t="shared" ca="1" si="24"/>
        <v>432.64252338217398</v>
      </c>
      <c r="S56" s="179">
        <f t="shared" ca="1" si="24"/>
        <v>461.72331166217907</v>
      </c>
    </row>
    <row r="57" spans="1:19" x14ac:dyDescent="0.4">
      <c r="A57" s="1" t="s">
        <v>403</v>
      </c>
      <c r="B57" s="76">
        <f t="shared" ref="B57:I57" si="25">E5</f>
        <v>168</v>
      </c>
      <c r="C57" s="76">
        <f t="shared" si="25"/>
        <v>298</v>
      </c>
      <c r="D57" s="76">
        <f t="shared" si="25"/>
        <v>404</v>
      </c>
      <c r="E57" s="76">
        <f t="shared" si="25"/>
        <v>241</v>
      </c>
      <c r="F57" s="76">
        <f t="shared" si="25"/>
        <v>163</v>
      </c>
      <c r="G57" s="76">
        <f t="shared" si="25"/>
        <v>0</v>
      </c>
      <c r="H57" s="76">
        <f t="shared" si="25"/>
        <v>0</v>
      </c>
      <c r="I57" s="76">
        <f t="shared" si="25"/>
        <v>0</v>
      </c>
      <c r="J57" s="179">
        <f t="shared" ref="J57:S57" ca="1" si="26">C33</f>
        <v>270.63787499999995</v>
      </c>
      <c r="K57" s="179">
        <f t="shared" ca="1" si="26"/>
        <v>302.82941665856248</v>
      </c>
      <c r="L57" s="179">
        <f t="shared" ca="1" si="26"/>
        <v>337.82669949284622</v>
      </c>
      <c r="M57" s="179">
        <f t="shared" ca="1" si="26"/>
        <v>375.99067480608454</v>
      </c>
      <c r="N57" s="179">
        <f t="shared" ca="1" si="26"/>
        <v>417.70686405377489</v>
      </c>
      <c r="O57" s="179">
        <f t="shared" ca="1" si="26"/>
        <v>463.39031835362897</v>
      </c>
      <c r="P57" s="179">
        <f t="shared" ca="1" si="26"/>
        <v>513.49054964082382</v>
      </c>
      <c r="Q57" s="179">
        <f t="shared" ca="1" si="26"/>
        <v>568.49656096119486</v>
      </c>
      <c r="R57" s="179">
        <f t="shared" ca="1" si="26"/>
        <v>628.94208217641892</v>
      </c>
      <c r="S57" s="179">
        <f t="shared" ca="1" si="26"/>
        <v>695.4111036227348</v>
      </c>
    </row>
    <row r="58" spans="1:19" x14ac:dyDescent="0.4">
      <c r="A58" s="1" t="s">
        <v>404</v>
      </c>
      <c r="B58" s="76">
        <f t="shared" ref="B58:I58" si="27">E5</f>
        <v>168</v>
      </c>
      <c r="C58" s="76">
        <f t="shared" si="27"/>
        <v>298</v>
      </c>
      <c r="D58" s="76">
        <f t="shared" si="27"/>
        <v>404</v>
      </c>
      <c r="E58" s="76">
        <f t="shared" si="27"/>
        <v>241</v>
      </c>
      <c r="F58" s="76">
        <f t="shared" si="27"/>
        <v>163</v>
      </c>
      <c r="G58" s="76">
        <f t="shared" si="27"/>
        <v>0</v>
      </c>
      <c r="H58" s="76">
        <f t="shared" si="27"/>
        <v>0</v>
      </c>
      <c r="I58" s="76">
        <f t="shared" si="27"/>
        <v>0</v>
      </c>
      <c r="J58" s="179">
        <f t="shared" ref="J58:S58" ca="1" si="28">C46</f>
        <v>284.17199999999997</v>
      </c>
      <c r="K58" s="179">
        <f t="shared" ca="1" si="28"/>
        <v>328.54747753599992</v>
      </c>
      <c r="L58" s="179">
        <f t="shared" ca="1" si="28"/>
        <v>374.91510894829065</v>
      </c>
      <c r="M58" s="179">
        <f t="shared" ca="1" si="28"/>
        <v>424.02673134291013</v>
      </c>
      <c r="N58" s="179">
        <f t="shared" ca="1" si="28"/>
        <v>476.56544936793432</v>
      </c>
      <c r="O58" s="179">
        <f t="shared" ca="1" si="28"/>
        <v>533.18386841769848</v>
      </c>
      <c r="P58" s="179">
        <f t="shared" ca="1" si="28"/>
        <v>594.53072314864175</v>
      </c>
      <c r="Q58" s="179">
        <f t="shared" ca="1" si="28"/>
        <v>661.27044147737388</v>
      </c>
      <c r="R58" s="179">
        <f t="shared" ca="1" si="28"/>
        <v>734.09839714099837</v>
      </c>
      <c r="S58" s="179">
        <f t="shared" ca="1" si="28"/>
        <v>813.7535713027462</v>
      </c>
    </row>
    <row r="60" spans="1:19" x14ac:dyDescent="0.4">
      <c r="B60" s="1">
        <v>1</v>
      </c>
      <c r="C60" s="1">
        <v>2</v>
      </c>
      <c r="D60" s="1">
        <v>3</v>
      </c>
      <c r="E60" s="1">
        <v>4</v>
      </c>
      <c r="F60" s="1">
        <v>5</v>
      </c>
      <c r="G60" s="1">
        <v>6</v>
      </c>
      <c r="H60" s="1">
        <v>7</v>
      </c>
      <c r="I60" s="1">
        <v>8</v>
      </c>
      <c r="J60" s="1">
        <v>9</v>
      </c>
      <c r="K60" s="1">
        <v>10</v>
      </c>
      <c r="L60" s="1">
        <v>11</v>
      </c>
      <c r="M60" s="1">
        <v>12</v>
      </c>
      <c r="N60" s="1">
        <v>13</v>
      </c>
      <c r="O60" s="1">
        <v>14</v>
      </c>
      <c r="P60" s="1">
        <v>15</v>
      </c>
    </row>
    <row r="61" spans="1:19" x14ac:dyDescent="0.4">
      <c r="B61" s="175">
        <f t="shared" ref="B61:P61" si="29">HLOOKUP(B$60,$B$54:$S$58,2,FALSE)</f>
        <v>44196</v>
      </c>
      <c r="C61" s="175">
        <f t="shared" si="29"/>
        <v>44561</v>
      </c>
      <c r="D61" s="175">
        <f t="shared" si="29"/>
        <v>44926</v>
      </c>
      <c r="E61" s="175">
        <f t="shared" si="29"/>
        <v>45291</v>
      </c>
      <c r="F61" s="175">
        <f t="shared" si="29"/>
        <v>45657</v>
      </c>
      <c r="G61" s="175">
        <f t="shared" si="29"/>
        <v>46022</v>
      </c>
      <c r="H61" s="175">
        <f t="shared" si="29"/>
        <v>46387</v>
      </c>
      <c r="I61" s="175">
        <f t="shared" si="29"/>
        <v>46752</v>
      </c>
      <c r="J61" s="175">
        <f t="shared" si="29"/>
        <v>47117</v>
      </c>
      <c r="K61" s="175">
        <f t="shared" si="29"/>
        <v>47482</v>
      </c>
      <c r="L61" s="175">
        <f t="shared" si="29"/>
        <v>47847</v>
      </c>
      <c r="M61" s="175">
        <f t="shared" si="29"/>
        <v>48212</v>
      </c>
      <c r="N61" s="175">
        <f t="shared" si="29"/>
        <v>48577</v>
      </c>
      <c r="O61" s="175">
        <f t="shared" si="29"/>
        <v>48942</v>
      </c>
      <c r="P61" s="175">
        <f t="shared" si="29"/>
        <v>49307</v>
      </c>
    </row>
    <row r="62" spans="1:19" x14ac:dyDescent="0.4">
      <c r="A62" s="1" t="s">
        <v>368</v>
      </c>
      <c r="B62" s="76">
        <f t="shared" ref="B62:P62" si="30">HLOOKUP(B$60,$B$54:$S$58,3,FALSE)</f>
        <v>168</v>
      </c>
      <c r="C62" s="76">
        <f t="shared" si="30"/>
        <v>298</v>
      </c>
      <c r="D62" s="76">
        <f t="shared" si="30"/>
        <v>404</v>
      </c>
      <c r="E62" s="76">
        <f t="shared" si="30"/>
        <v>241</v>
      </c>
      <c r="F62" s="76">
        <f t="shared" si="30"/>
        <v>163</v>
      </c>
      <c r="G62" s="76">
        <f t="shared" ca="1" si="30"/>
        <v>257.10374999999999</v>
      </c>
      <c r="H62" s="76">
        <f t="shared" ca="1" si="30"/>
        <v>274.38540706250001</v>
      </c>
      <c r="I62" s="76">
        <f t="shared" ca="1" si="30"/>
        <v>292.82867950721771</v>
      </c>
      <c r="J62" s="76">
        <f t="shared" ca="1" si="30"/>
        <v>312.51164724809456</v>
      </c>
      <c r="K62" s="76">
        <f t="shared" ca="1" si="30"/>
        <v>333.51763847062068</v>
      </c>
      <c r="L62" s="76">
        <f t="shared" ca="1" si="30"/>
        <v>355.93558240315423</v>
      </c>
      <c r="M62" s="76">
        <f t="shared" ca="1" si="30"/>
        <v>379.86038580035296</v>
      </c>
      <c r="N62" s="76">
        <f t="shared" ca="1" si="30"/>
        <v>405.39333473256664</v>
      </c>
      <c r="O62" s="76">
        <f t="shared" ca="1" si="30"/>
        <v>432.64252338217398</v>
      </c>
      <c r="P62" s="76">
        <f t="shared" ca="1" si="30"/>
        <v>461.72331166217907</v>
      </c>
    </row>
    <row r="63" spans="1:19" x14ac:dyDescent="0.4">
      <c r="A63" s="1" t="s">
        <v>403</v>
      </c>
      <c r="B63" s="76">
        <f t="shared" ref="B63:P63" si="31">HLOOKUP(B$60,$B$54:$S$58,4,FALSE)</f>
        <v>168</v>
      </c>
      <c r="C63" s="76">
        <f t="shared" si="31"/>
        <v>298</v>
      </c>
      <c r="D63" s="76">
        <f t="shared" si="31"/>
        <v>404</v>
      </c>
      <c r="E63" s="76">
        <f t="shared" si="31"/>
        <v>241</v>
      </c>
      <c r="F63" s="76">
        <f t="shared" si="31"/>
        <v>163</v>
      </c>
      <c r="G63" s="76">
        <f t="shared" ca="1" si="31"/>
        <v>270.63787499999995</v>
      </c>
      <c r="H63" s="76">
        <f t="shared" ca="1" si="31"/>
        <v>302.82941665856248</v>
      </c>
      <c r="I63" s="76">
        <f t="shared" ca="1" si="31"/>
        <v>337.82669949284622</v>
      </c>
      <c r="J63" s="76">
        <f t="shared" ca="1" si="31"/>
        <v>375.99067480608454</v>
      </c>
      <c r="K63" s="76">
        <f t="shared" ca="1" si="31"/>
        <v>417.70686405377489</v>
      </c>
      <c r="L63" s="76">
        <f t="shared" ca="1" si="31"/>
        <v>463.39031835362897</v>
      </c>
      <c r="M63" s="76">
        <f t="shared" ca="1" si="31"/>
        <v>513.49054964082382</v>
      </c>
      <c r="N63" s="76">
        <f t="shared" ca="1" si="31"/>
        <v>568.49656096119486</v>
      </c>
      <c r="O63" s="76">
        <f t="shared" ca="1" si="31"/>
        <v>628.94208217641892</v>
      </c>
      <c r="P63" s="76">
        <f t="shared" ca="1" si="31"/>
        <v>695.4111036227348</v>
      </c>
    </row>
    <row r="64" spans="1:19" x14ac:dyDescent="0.4">
      <c r="A64" s="1" t="s">
        <v>404</v>
      </c>
      <c r="B64" s="76">
        <f t="shared" ref="B64:P64" si="32">HLOOKUP(B$60,$B$54:$S$58,5,FALSE)</f>
        <v>168</v>
      </c>
      <c r="C64" s="76">
        <f t="shared" si="32"/>
        <v>298</v>
      </c>
      <c r="D64" s="76">
        <f t="shared" si="32"/>
        <v>404</v>
      </c>
      <c r="E64" s="76">
        <f t="shared" si="32"/>
        <v>241</v>
      </c>
      <c r="F64" s="76">
        <f t="shared" si="32"/>
        <v>163</v>
      </c>
      <c r="G64" s="76">
        <f t="shared" ca="1" si="32"/>
        <v>284.17199999999997</v>
      </c>
      <c r="H64" s="76">
        <f t="shared" ca="1" si="32"/>
        <v>328.54747753599992</v>
      </c>
      <c r="I64" s="76">
        <f t="shared" ca="1" si="32"/>
        <v>374.91510894829065</v>
      </c>
      <c r="J64" s="76">
        <f t="shared" ca="1" si="32"/>
        <v>424.02673134291013</v>
      </c>
      <c r="K64" s="76">
        <f t="shared" ca="1" si="32"/>
        <v>476.56544936793432</v>
      </c>
      <c r="L64" s="76">
        <f t="shared" ca="1" si="32"/>
        <v>533.18386841769848</v>
      </c>
      <c r="M64" s="76">
        <f t="shared" ca="1" si="32"/>
        <v>594.53072314864175</v>
      </c>
      <c r="N64" s="76">
        <f t="shared" ca="1" si="32"/>
        <v>661.27044147737388</v>
      </c>
      <c r="O64" s="76">
        <f t="shared" ca="1" si="32"/>
        <v>734.09839714099837</v>
      </c>
      <c r="P64" s="76">
        <f t="shared" ca="1" si="32"/>
        <v>813.7535713027462</v>
      </c>
    </row>
  </sheetData>
  <phoneticPr fontId="2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/>
  </sheetPr>
  <dimension ref="A1:L123"/>
  <sheetViews>
    <sheetView workbookViewId="0"/>
  </sheetViews>
  <sheetFormatPr defaultColWidth="9" defaultRowHeight="17.399999999999999" x14ac:dyDescent="0.4"/>
  <cols>
    <col min="1" max="1" width="18.59765625" style="1" bestFit="1" customWidth="1"/>
    <col min="2" max="12" width="15.59765625" style="1" customWidth="1"/>
    <col min="13" max="13" width="9" style="1" customWidth="1"/>
    <col min="14" max="16384" width="9" style="1"/>
  </cols>
  <sheetData>
    <row r="1" spans="1:12" x14ac:dyDescent="0.4">
      <c r="A1" s="34" t="s">
        <v>405</v>
      </c>
      <c r="B1" s="24"/>
    </row>
    <row r="3" spans="1:12" x14ac:dyDescent="0.4">
      <c r="A3" s="4" t="s">
        <v>406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5" spans="1:12" x14ac:dyDescent="0.4">
      <c r="A5" s="9" t="s">
        <v>407</v>
      </c>
      <c r="B5" s="11">
        <v>1513</v>
      </c>
    </row>
    <row r="6" spans="1:12" x14ac:dyDescent="0.4">
      <c r="A6" s="9" t="s">
        <v>408</v>
      </c>
      <c r="B6" s="12">
        <v>0.1522</v>
      </c>
    </row>
    <row r="7" spans="1:12" x14ac:dyDescent="0.4">
      <c r="A7" s="9" t="s">
        <v>409</v>
      </c>
      <c r="B7" s="12">
        <v>8.0500000000000002E-2</v>
      </c>
    </row>
    <row r="8" spans="1:12" x14ac:dyDescent="0.4">
      <c r="A8" s="9" t="s">
        <v>410</v>
      </c>
      <c r="B8" s="7">
        <f>B5+(B5*(B6-B7))/B7</f>
        <v>2860.6037267080746</v>
      </c>
    </row>
    <row r="10" spans="1:12" x14ac:dyDescent="0.4">
      <c r="A10" s="9" t="s">
        <v>411</v>
      </c>
      <c r="B10" s="13">
        <v>15179843</v>
      </c>
    </row>
    <row r="11" spans="1:12" x14ac:dyDescent="0.4">
      <c r="A11" s="9" t="s">
        <v>367</v>
      </c>
      <c r="B11" s="8">
        <f>B8*100000000/B10</f>
        <v>18844.751732333956</v>
      </c>
    </row>
    <row r="13" spans="1:12" x14ac:dyDescent="0.4">
      <c r="A13" s="9" t="s">
        <v>347</v>
      </c>
      <c r="B13" s="47" t="s">
        <v>391</v>
      </c>
      <c r="C13" s="47" t="s">
        <v>367</v>
      </c>
      <c r="D13" s="47" t="s">
        <v>392</v>
      </c>
      <c r="F13" s="28" t="s">
        <v>398</v>
      </c>
      <c r="G13" s="29">
        <f>B5*(B6-B7)</f>
        <v>108.4821</v>
      </c>
    </row>
    <row r="14" spans="1:12" x14ac:dyDescent="0.4">
      <c r="A14" s="39" t="s">
        <v>393</v>
      </c>
      <c r="B14" s="40">
        <f>B8</f>
        <v>2860.6037267080746</v>
      </c>
      <c r="C14" s="41">
        <f>B11</f>
        <v>18844.751732333956</v>
      </c>
      <c r="D14" s="42" t="s">
        <v>369</v>
      </c>
      <c r="F14" s="28" t="s">
        <v>412</v>
      </c>
      <c r="G14" s="28"/>
    </row>
    <row r="15" spans="1:12" x14ac:dyDescent="0.4">
      <c r="A15" s="35" t="s">
        <v>370</v>
      </c>
      <c r="B15" s="36">
        <f>B5+G13*F15/(1+B7-F15)</f>
        <v>2053.9079778393352</v>
      </c>
      <c r="C15" s="37">
        <f>B15*100000000/B10</f>
        <v>13530.495525146969</v>
      </c>
      <c r="D15" s="38" t="s">
        <v>394</v>
      </c>
      <c r="F15" s="28">
        <v>0.9</v>
      </c>
      <c r="G15" s="28"/>
    </row>
    <row r="16" spans="1:12" x14ac:dyDescent="0.4">
      <c r="A16" s="43" t="s">
        <v>372</v>
      </c>
      <c r="B16" s="44">
        <f>B5+G13*F16/(1+B7-F16)</f>
        <v>1822.3963636363637</v>
      </c>
      <c r="C16" s="45">
        <f>B16*100000000/B10</f>
        <v>12005.370303476549</v>
      </c>
      <c r="D16" s="46" t="s">
        <v>371</v>
      </c>
      <c r="F16" s="28">
        <v>0.8</v>
      </c>
      <c r="G16" s="28"/>
    </row>
    <row r="18" spans="1:12" x14ac:dyDescent="0.4">
      <c r="A18" s="4" t="s">
        <v>413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6.5" customHeight="1" x14ac:dyDescent="0.4"/>
    <row r="20" spans="1:12" ht="16.5" customHeight="1" x14ac:dyDescent="0.4">
      <c r="A20" s="9" t="s">
        <v>347</v>
      </c>
      <c r="B20" s="47" t="s">
        <v>391</v>
      </c>
      <c r="C20" s="47" t="s">
        <v>367</v>
      </c>
      <c r="D20" s="47" t="s">
        <v>392</v>
      </c>
    </row>
    <row r="21" spans="1:12" ht="16.5" customHeight="1" x14ac:dyDescent="0.4">
      <c r="A21" s="39" t="s">
        <v>393</v>
      </c>
      <c r="B21" s="40">
        <f>B34</f>
        <v>2876.536736011557</v>
      </c>
      <c r="C21" s="41">
        <f>B35</f>
        <v>18949.713353501462</v>
      </c>
      <c r="D21" s="42" t="s">
        <v>369</v>
      </c>
    </row>
    <row r="22" spans="1:12" ht="16.5" customHeight="1" x14ac:dyDescent="0.4">
      <c r="A22" s="35" t="s">
        <v>370</v>
      </c>
      <c r="B22" s="36">
        <f>B46</f>
        <v>2214.6094414271038</v>
      </c>
      <c r="C22" s="37">
        <f>B47</f>
        <v>14589.145891871898</v>
      </c>
      <c r="D22" s="38" t="s">
        <v>394</v>
      </c>
    </row>
    <row r="23" spans="1:12" ht="16.5" customHeight="1" x14ac:dyDescent="0.4">
      <c r="A23" s="43" t="s">
        <v>372</v>
      </c>
      <c r="B23" s="44">
        <f>B58</f>
        <v>1910.2923615192806</v>
      </c>
      <c r="C23" s="45">
        <f>B59</f>
        <v>12584.401311128717</v>
      </c>
      <c r="D23" s="46" t="s">
        <v>371</v>
      </c>
    </row>
    <row r="24" spans="1:12" ht="16.5" customHeight="1" x14ac:dyDescent="0.4"/>
    <row r="25" spans="1:12" x14ac:dyDescent="0.4">
      <c r="A25" s="17" t="s">
        <v>395</v>
      </c>
      <c r="B25" s="21">
        <v>1</v>
      </c>
    </row>
    <row r="26" spans="1:12" x14ac:dyDescent="0.4">
      <c r="A26" s="16" t="s">
        <v>396</v>
      </c>
      <c r="B26" s="5" t="s">
        <v>414</v>
      </c>
      <c r="C26" s="5" t="s">
        <v>415</v>
      </c>
      <c r="D26" s="5" t="s">
        <v>416</v>
      </c>
      <c r="E26" s="5" t="s">
        <v>417</v>
      </c>
      <c r="F26" s="5" t="s">
        <v>418</v>
      </c>
      <c r="G26" s="5" t="s">
        <v>419</v>
      </c>
      <c r="H26" s="5" t="s">
        <v>420</v>
      </c>
      <c r="I26" s="5" t="s">
        <v>421</v>
      </c>
      <c r="J26" s="5" t="s">
        <v>422</v>
      </c>
      <c r="K26" s="5" t="s">
        <v>423</v>
      </c>
      <c r="L26" s="5" t="s">
        <v>424</v>
      </c>
    </row>
    <row r="27" spans="1:12" x14ac:dyDescent="0.4">
      <c r="A27" s="15" t="s">
        <v>354</v>
      </c>
      <c r="B27" s="19">
        <f>$B$7</f>
        <v>8.0500000000000002E-2</v>
      </c>
      <c r="C27" s="19">
        <f t="shared" ref="C27:L27" si="0">B27</f>
        <v>8.0500000000000002E-2</v>
      </c>
      <c r="D27" s="19">
        <f t="shared" si="0"/>
        <v>8.0500000000000002E-2</v>
      </c>
      <c r="E27" s="19">
        <f t="shared" si="0"/>
        <v>8.0500000000000002E-2</v>
      </c>
      <c r="F27" s="19">
        <f t="shared" si="0"/>
        <v>8.0500000000000002E-2</v>
      </c>
      <c r="G27" s="19">
        <f t="shared" si="0"/>
        <v>8.0500000000000002E-2</v>
      </c>
      <c r="H27" s="19">
        <f t="shared" si="0"/>
        <v>8.0500000000000002E-2</v>
      </c>
      <c r="I27" s="19">
        <f t="shared" si="0"/>
        <v>8.0500000000000002E-2</v>
      </c>
      <c r="J27" s="19">
        <f t="shared" si="0"/>
        <v>8.0500000000000002E-2</v>
      </c>
      <c r="K27" s="19">
        <f t="shared" si="0"/>
        <v>8.0500000000000002E-2</v>
      </c>
      <c r="L27" s="19">
        <f t="shared" si="0"/>
        <v>8.0500000000000002E-2</v>
      </c>
    </row>
    <row r="28" spans="1:12" x14ac:dyDescent="0.4">
      <c r="A28" s="15" t="s">
        <v>397</v>
      </c>
      <c r="B28" s="19">
        <f>$B$6-B27</f>
        <v>7.17E-2</v>
      </c>
      <c r="C28" s="19">
        <f t="shared" ref="C28:L28" si="1">B28*$B$25</f>
        <v>7.17E-2</v>
      </c>
      <c r="D28" s="19">
        <f t="shared" si="1"/>
        <v>7.17E-2</v>
      </c>
      <c r="E28" s="19">
        <f t="shared" si="1"/>
        <v>7.17E-2</v>
      </c>
      <c r="F28" s="19">
        <f t="shared" si="1"/>
        <v>7.17E-2</v>
      </c>
      <c r="G28" s="19">
        <f t="shared" si="1"/>
        <v>7.17E-2</v>
      </c>
      <c r="H28" s="19">
        <f t="shared" si="1"/>
        <v>7.17E-2</v>
      </c>
      <c r="I28" s="19">
        <f t="shared" si="1"/>
        <v>7.17E-2</v>
      </c>
      <c r="J28" s="19">
        <f t="shared" si="1"/>
        <v>7.17E-2</v>
      </c>
      <c r="K28" s="19">
        <f t="shared" si="1"/>
        <v>7.17E-2</v>
      </c>
      <c r="L28" s="19">
        <f t="shared" si="1"/>
        <v>7.17E-2</v>
      </c>
    </row>
    <row r="29" spans="1:12" x14ac:dyDescent="0.4">
      <c r="A29" s="15" t="s">
        <v>249</v>
      </c>
      <c r="B29" s="19">
        <f t="shared" ref="B29:L29" si="2">B27+B28</f>
        <v>0.1522</v>
      </c>
      <c r="C29" s="19">
        <f t="shared" si="2"/>
        <v>0.1522</v>
      </c>
      <c r="D29" s="19">
        <f t="shared" si="2"/>
        <v>0.1522</v>
      </c>
      <c r="E29" s="19">
        <f t="shared" si="2"/>
        <v>0.1522</v>
      </c>
      <c r="F29" s="19">
        <f t="shared" si="2"/>
        <v>0.1522</v>
      </c>
      <c r="G29" s="19">
        <f t="shared" si="2"/>
        <v>0.1522</v>
      </c>
      <c r="H29" s="19">
        <f t="shared" si="2"/>
        <v>0.1522</v>
      </c>
      <c r="I29" s="19">
        <f t="shared" si="2"/>
        <v>0.1522</v>
      </c>
      <c r="J29" s="19">
        <f t="shared" si="2"/>
        <v>0.1522</v>
      </c>
      <c r="K29" s="19">
        <f t="shared" si="2"/>
        <v>0.1522</v>
      </c>
      <c r="L29" s="19">
        <f t="shared" si="2"/>
        <v>0.1522</v>
      </c>
    </row>
    <row r="30" spans="1:12" x14ac:dyDescent="0.4">
      <c r="A30" s="15" t="s">
        <v>385</v>
      </c>
      <c r="B30" s="20"/>
      <c r="C30" s="20">
        <f t="shared" ref="C30:L30" si="3">B31*C29</f>
        <v>230.27860000000001</v>
      </c>
      <c r="D30" s="20">
        <f t="shared" si="3"/>
        <v>265.32700292000004</v>
      </c>
      <c r="E30" s="20">
        <f t="shared" si="3"/>
        <v>305.70977276442403</v>
      </c>
      <c r="F30" s="20">
        <f t="shared" si="3"/>
        <v>352.23880017916935</v>
      </c>
      <c r="G30" s="20">
        <f t="shared" si="3"/>
        <v>405.84954556643891</v>
      </c>
      <c r="H30" s="20">
        <f t="shared" si="3"/>
        <v>467.61984640165088</v>
      </c>
      <c r="I30" s="20">
        <f t="shared" si="3"/>
        <v>538.79158702398217</v>
      </c>
      <c r="J30" s="20">
        <f t="shared" si="3"/>
        <v>620.79566656903228</v>
      </c>
      <c r="K30" s="20">
        <f t="shared" si="3"/>
        <v>715.28076702083899</v>
      </c>
      <c r="L30" s="20">
        <f t="shared" si="3"/>
        <v>824.14649976141061</v>
      </c>
    </row>
    <row r="31" spans="1:12" x14ac:dyDescent="0.4">
      <c r="A31" s="15" t="s">
        <v>383</v>
      </c>
      <c r="B31" s="20">
        <f>$B$5</f>
        <v>1513</v>
      </c>
      <c r="C31" s="20">
        <f t="shared" ref="C31:L31" si="4">B31+C30</f>
        <v>1743.2786000000001</v>
      </c>
      <c r="D31" s="20">
        <f t="shared" si="4"/>
        <v>2008.6056029200001</v>
      </c>
      <c r="E31" s="20">
        <f t="shared" si="4"/>
        <v>2314.315375684424</v>
      </c>
      <c r="F31" s="20">
        <f t="shared" si="4"/>
        <v>2666.5541758635932</v>
      </c>
      <c r="G31" s="20">
        <f t="shared" si="4"/>
        <v>3072.403721430032</v>
      </c>
      <c r="H31" s="20">
        <f t="shared" si="4"/>
        <v>3540.0235678316831</v>
      </c>
      <c r="I31" s="20">
        <f t="shared" si="4"/>
        <v>4078.8151548556652</v>
      </c>
      <c r="J31" s="20">
        <f t="shared" si="4"/>
        <v>4699.6108214246979</v>
      </c>
      <c r="K31" s="20">
        <f t="shared" si="4"/>
        <v>5414.8915884455364</v>
      </c>
      <c r="L31" s="20">
        <f t="shared" si="4"/>
        <v>6239.0380882069467</v>
      </c>
    </row>
    <row r="32" spans="1:12" x14ac:dyDescent="0.4">
      <c r="A32" s="15" t="s">
        <v>398</v>
      </c>
      <c r="B32" s="20"/>
      <c r="C32" s="20">
        <f t="shared" ref="C32:L32" si="5">C30-B31*C27</f>
        <v>108.4821</v>
      </c>
      <c r="D32" s="20">
        <f t="shared" si="5"/>
        <v>124.99307562000004</v>
      </c>
      <c r="E32" s="20">
        <f t="shared" si="5"/>
        <v>144.01702172936402</v>
      </c>
      <c r="F32" s="20">
        <f t="shared" si="5"/>
        <v>165.93641243657322</v>
      </c>
      <c r="G32" s="20">
        <f t="shared" si="5"/>
        <v>191.19193440941964</v>
      </c>
      <c r="H32" s="20">
        <f t="shared" si="5"/>
        <v>220.2913468265333</v>
      </c>
      <c r="I32" s="20">
        <f t="shared" si="5"/>
        <v>253.81968981353168</v>
      </c>
      <c r="J32" s="20">
        <f t="shared" si="5"/>
        <v>292.45104660315121</v>
      </c>
      <c r="K32" s="20">
        <f t="shared" si="5"/>
        <v>336.9620958961508</v>
      </c>
      <c r="L32" s="20">
        <f t="shared" si="5"/>
        <v>388.24772689154491</v>
      </c>
    </row>
    <row r="33" spans="1:12" x14ac:dyDescent="0.4">
      <c r="A33" s="15" t="s">
        <v>399</v>
      </c>
      <c r="B33" s="18">
        <f>NPV($B$7,C32:L32)</f>
        <v>1363.536736011557</v>
      </c>
    </row>
    <row r="34" spans="1:12" x14ac:dyDescent="0.4">
      <c r="A34" s="15" t="s">
        <v>402</v>
      </c>
      <c r="B34" s="22">
        <f>B31+B33</f>
        <v>2876.536736011557</v>
      </c>
    </row>
    <row r="35" spans="1:12" x14ac:dyDescent="0.4">
      <c r="A35" s="15" t="s">
        <v>363</v>
      </c>
      <c r="B35" s="23">
        <f>B34*100000000/$B$10</f>
        <v>18949.713353501462</v>
      </c>
    </row>
    <row r="37" spans="1:12" x14ac:dyDescent="0.4">
      <c r="A37" s="17" t="s">
        <v>395</v>
      </c>
      <c r="B37" s="21">
        <v>0.9</v>
      </c>
    </row>
    <row r="38" spans="1:12" x14ac:dyDescent="0.4">
      <c r="A38" s="16" t="s">
        <v>396</v>
      </c>
      <c r="B38" s="5" t="s">
        <v>414</v>
      </c>
      <c r="C38" s="5" t="s">
        <v>415</v>
      </c>
      <c r="D38" s="5" t="s">
        <v>416</v>
      </c>
      <c r="E38" s="5" t="s">
        <v>417</v>
      </c>
      <c r="F38" s="5" t="s">
        <v>418</v>
      </c>
      <c r="G38" s="5" t="s">
        <v>419</v>
      </c>
      <c r="H38" s="5" t="s">
        <v>420</v>
      </c>
      <c r="I38" s="5" t="s">
        <v>421</v>
      </c>
      <c r="J38" s="5" t="s">
        <v>422</v>
      </c>
      <c r="K38" s="5" t="s">
        <v>423</v>
      </c>
      <c r="L38" s="5" t="s">
        <v>424</v>
      </c>
    </row>
    <row r="39" spans="1:12" x14ac:dyDescent="0.4">
      <c r="A39" s="15" t="s">
        <v>354</v>
      </c>
      <c r="B39" s="19">
        <f>$B$7</f>
        <v>8.0500000000000002E-2</v>
      </c>
      <c r="C39" s="19">
        <f t="shared" ref="C39:L39" si="6">B39</f>
        <v>8.0500000000000002E-2</v>
      </c>
      <c r="D39" s="19">
        <f t="shared" si="6"/>
        <v>8.0500000000000002E-2</v>
      </c>
      <c r="E39" s="19">
        <f t="shared" si="6"/>
        <v>8.0500000000000002E-2</v>
      </c>
      <c r="F39" s="19">
        <f t="shared" si="6"/>
        <v>8.0500000000000002E-2</v>
      </c>
      <c r="G39" s="19">
        <f t="shared" si="6"/>
        <v>8.0500000000000002E-2</v>
      </c>
      <c r="H39" s="19">
        <f t="shared" si="6"/>
        <v>8.0500000000000002E-2</v>
      </c>
      <c r="I39" s="19">
        <f t="shared" si="6"/>
        <v>8.0500000000000002E-2</v>
      </c>
      <c r="J39" s="19">
        <f t="shared" si="6"/>
        <v>8.0500000000000002E-2</v>
      </c>
      <c r="K39" s="19">
        <f t="shared" si="6"/>
        <v>8.0500000000000002E-2</v>
      </c>
      <c r="L39" s="19">
        <f t="shared" si="6"/>
        <v>8.0500000000000002E-2</v>
      </c>
    </row>
    <row r="40" spans="1:12" x14ac:dyDescent="0.4">
      <c r="A40" s="15" t="s">
        <v>397</v>
      </c>
      <c r="B40" s="19">
        <f>$B$6-B39</f>
        <v>7.17E-2</v>
      </c>
      <c r="C40" s="19">
        <f t="shared" ref="C40:L40" si="7">B40*$B$37</f>
        <v>6.4530000000000004E-2</v>
      </c>
      <c r="D40" s="19">
        <f t="shared" si="7"/>
        <v>5.8077000000000004E-2</v>
      </c>
      <c r="E40" s="19">
        <f t="shared" si="7"/>
        <v>5.2269300000000005E-2</v>
      </c>
      <c r="F40" s="19">
        <f t="shared" si="7"/>
        <v>4.7042370000000007E-2</v>
      </c>
      <c r="G40" s="19">
        <f t="shared" si="7"/>
        <v>4.2338133000000007E-2</v>
      </c>
      <c r="H40" s="19">
        <f t="shared" si="7"/>
        <v>3.8104319700000007E-2</v>
      </c>
      <c r="I40" s="19">
        <f t="shared" si="7"/>
        <v>3.4293887730000007E-2</v>
      </c>
      <c r="J40" s="19">
        <f t="shared" si="7"/>
        <v>3.0864498957000008E-2</v>
      </c>
      <c r="K40" s="19">
        <f t="shared" si="7"/>
        <v>2.7778049061300006E-2</v>
      </c>
      <c r="L40" s="19">
        <f t="shared" si="7"/>
        <v>2.5000244155170007E-2</v>
      </c>
    </row>
    <row r="41" spans="1:12" x14ac:dyDescent="0.4">
      <c r="A41" s="15" t="s">
        <v>249</v>
      </c>
      <c r="B41" s="19">
        <f t="shared" ref="B41:L41" si="8">B39+B40</f>
        <v>0.1522</v>
      </c>
      <c r="C41" s="19">
        <f t="shared" si="8"/>
        <v>0.14502999999999999</v>
      </c>
      <c r="D41" s="19">
        <f t="shared" si="8"/>
        <v>0.13857700000000001</v>
      </c>
      <c r="E41" s="19">
        <f t="shared" si="8"/>
        <v>0.13276930000000001</v>
      </c>
      <c r="F41" s="19">
        <f t="shared" si="8"/>
        <v>0.12754237000000002</v>
      </c>
      <c r="G41" s="19">
        <f t="shared" si="8"/>
        <v>0.12283813300000002</v>
      </c>
      <c r="H41" s="19">
        <f t="shared" si="8"/>
        <v>0.11860431970000002</v>
      </c>
      <c r="I41" s="19">
        <f t="shared" si="8"/>
        <v>0.11479388773000002</v>
      </c>
      <c r="J41" s="19">
        <f t="shared" si="8"/>
        <v>0.11136449895700001</v>
      </c>
      <c r="K41" s="19">
        <f t="shared" si="8"/>
        <v>0.10827804906130001</v>
      </c>
      <c r="L41" s="19">
        <f t="shared" si="8"/>
        <v>0.10550024415517001</v>
      </c>
    </row>
    <row r="42" spans="1:12" x14ac:dyDescent="0.4">
      <c r="A42" s="15" t="s">
        <v>385</v>
      </c>
      <c r="B42" s="20"/>
      <c r="C42" s="20">
        <f t="shared" ref="C42:L42" si="9">B43*C41</f>
        <v>219.43038999999999</v>
      </c>
      <c r="D42" s="20">
        <f t="shared" si="9"/>
        <v>240.07500615503</v>
      </c>
      <c r="E42" s="20">
        <f t="shared" si="9"/>
        <v>261.88816069372604</v>
      </c>
      <c r="F42" s="20">
        <f t="shared" si="9"/>
        <v>284.97984975322009</v>
      </c>
      <c r="G42" s="20">
        <f t="shared" si="9"/>
        <v>309.47512559683668</v>
      </c>
      <c r="H42" s="20">
        <f t="shared" si="9"/>
        <v>335.51365569578377</v>
      </c>
      <c r="I42" s="20">
        <f t="shared" si="9"/>
        <v>363.2494377342295</v>
      </c>
      <c r="J42" s="20">
        <f t="shared" si="9"/>
        <v>392.85070120304249</v>
      </c>
      <c r="K42" s="20">
        <f t="shared" si="9"/>
        <v>424.50001216767942</v>
      </c>
      <c r="L42" s="20">
        <f t="shared" si="9"/>
        <v>458.39458760947082</v>
      </c>
    </row>
    <row r="43" spans="1:12" x14ac:dyDescent="0.4">
      <c r="A43" s="15" t="s">
        <v>383</v>
      </c>
      <c r="B43" s="20">
        <f>$B$5</f>
        <v>1513</v>
      </c>
      <c r="C43" s="20">
        <f t="shared" ref="C43:L43" si="10">B43+C42</f>
        <v>1732.43039</v>
      </c>
      <c r="D43" s="20">
        <f t="shared" si="10"/>
        <v>1972.50539615503</v>
      </c>
      <c r="E43" s="20">
        <f t="shared" si="10"/>
        <v>2234.3935568487559</v>
      </c>
      <c r="F43" s="20">
        <f t="shared" si="10"/>
        <v>2519.3734066019761</v>
      </c>
      <c r="G43" s="20">
        <f t="shared" si="10"/>
        <v>2828.8485321988128</v>
      </c>
      <c r="H43" s="20">
        <f t="shared" si="10"/>
        <v>3164.3621878945964</v>
      </c>
      <c r="I43" s="20">
        <f t="shared" si="10"/>
        <v>3527.611625628826</v>
      </c>
      <c r="J43" s="20">
        <f t="shared" si="10"/>
        <v>3920.4623268318683</v>
      </c>
      <c r="K43" s="20">
        <f t="shared" si="10"/>
        <v>4344.9623389995477</v>
      </c>
      <c r="L43" s="20">
        <f t="shared" si="10"/>
        <v>4803.356926609018</v>
      </c>
    </row>
    <row r="44" spans="1:12" x14ac:dyDescent="0.4">
      <c r="A44" s="15" t="s">
        <v>398</v>
      </c>
      <c r="B44" s="20"/>
      <c r="C44" s="20">
        <f t="shared" ref="C44:L44" si="11">C42-B43*C39</f>
        <v>97.63388999999998</v>
      </c>
      <c r="D44" s="20">
        <f t="shared" si="11"/>
        <v>100.61435976003</v>
      </c>
      <c r="E44" s="20">
        <f t="shared" si="11"/>
        <v>103.10147630324613</v>
      </c>
      <c r="F44" s="20">
        <f t="shared" si="11"/>
        <v>105.11116842689523</v>
      </c>
      <c r="G44" s="20">
        <f t="shared" si="11"/>
        <v>106.6655663653776</v>
      </c>
      <c r="H44" s="20">
        <f t="shared" si="11"/>
        <v>107.79134885377934</v>
      </c>
      <c r="I44" s="20">
        <f t="shared" si="11"/>
        <v>108.51828160871449</v>
      </c>
      <c r="J44" s="20">
        <f t="shared" si="11"/>
        <v>108.87796533992201</v>
      </c>
      <c r="K44" s="20">
        <f t="shared" si="11"/>
        <v>108.90279485771401</v>
      </c>
      <c r="L44" s="20">
        <f t="shared" si="11"/>
        <v>108.62511932000723</v>
      </c>
    </row>
    <row r="45" spans="1:12" x14ac:dyDescent="0.4">
      <c r="A45" s="15" t="s">
        <v>399</v>
      </c>
      <c r="B45" s="18">
        <f>NPV($B$7,C44:L44)</f>
        <v>701.60944142710355</v>
      </c>
    </row>
    <row r="46" spans="1:12" x14ac:dyDescent="0.4">
      <c r="A46" s="15" t="s">
        <v>402</v>
      </c>
      <c r="B46" s="22">
        <f>B43+B45</f>
        <v>2214.6094414271038</v>
      </c>
    </row>
    <row r="47" spans="1:12" x14ac:dyDescent="0.4">
      <c r="A47" s="15" t="s">
        <v>363</v>
      </c>
      <c r="B47" s="23">
        <f>B46*100000000/$B$10</f>
        <v>14589.145891871898</v>
      </c>
    </row>
    <row r="49" spans="1:12" x14ac:dyDescent="0.4">
      <c r="A49" s="17" t="s">
        <v>395</v>
      </c>
      <c r="B49" s="21">
        <v>0.8</v>
      </c>
    </row>
    <row r="50" spans="1:12" x14ac:dyDescent="0.4">
      <c r="A50" s="16" t="s">
        <v>396</v>
      </c>
      <c r="B50" s="5" t="s">
        <v>414</v>
      </c>
      <c r="C50" s="5" t="s">
        <v>415</v>
      </c>
      <c r="D50" s="5" t="s">
        <v>416</v>
      </c>
      <c r="E50" s="5" t="s">
        <v>417</v>
      </c>
      <c r="F50" s="5" t="s">
        <v>418</v>
      </c>
      <c r="G50" s="5" t="s">
        <v>419</v>
      </c>
      <c r="H50" s="5" t="s">
        <v>420</v>
      </c>
      <c r="I50" s="5" t="s">
        <v>421</v>
      </c>
      <c r="J50" s="5" t="s">
        <v>422</v>
      </c>
      <c r="K50" s="5" t="s">
        <v>423</v>
      </c>
      <c r="L50" s="5" t="s">
        <v>424</v>
      </c>
    </row>
    <row r="51" spans="1:12" x14ac:dyDescent="0.4">
      <c r="A51" s="15" t="s">
        <v>354</v>
      </c>
      <c r="B51" s="19">
        <f>$B$7</f>
        <v>8.0500000000000002E-2</v>
      </c>
      <c r="C51" s="19">
        <f t="shared" ref="C51:L51" si="12">B51</f>
        <v>8.0500000000000002E-2</v>
      </c>
      <c r="D51" s="19">
        <f t="shared" si="12"/>
        <v>8.0500000000000002E-2</v>
      </c>
      <c r="E51" s="19">
        <f t="shared" si="12"/>
        <v>8.0500000000000002E-2</v>
      </c>
      <c r="F51" s="19">
        <f t="shared" si="12"/>
        <v>8.0500000000000002E-2</v>
      </c>
      <c r="G51" s="19">
        <f t="shared" si="12"/>
        <v>8.0500000000000002E-2</v>
      </c>
      <c r="H51" s="19">
        <f t="shared" si="12"/>
        <v>8.0500000000000002E-2</v>
      </c>
      <c r="I51" s="19">
        <f t="shared" si="12"/>
        <v>8.0500000000000002E-2</v>
      </c>
      <c r="J51" s="19">
        <f t="shared" si="12"/>
        <v>8.0500000000000002E-2</v>
      </c>
      <c r="K51" s="19">
        <f t="shared" si="12"/>
        <v>8.0500000000000002E-2</v>
      </c>
      <c r="L51" s="19">
        <f t="shared" si="12"/>
        <v>8.0500000000000002E-2</v>
      </c>
    </row>
    <row r="52" spans="1:12" x14ac:dyDescent="0.4">
      <c r="A52" s="15" t="s">
        <v>397</v>
      </c>
      <c r="B52" s="19">
        <f>$B$6-B51</f>
        <v>7.17E-2</v>
      </c>
      <c r="C52" s="19">
        <f t="shared" ref="C52:L52" si="13">B52*$B$49</f>
        <v>5.7360000000000001E-2</v>
      </c>
      <c r="D52" s="19">
        <f t="shared" si="13"/>
        <v>4.5888000000000005E-2</v>
      </c>
      <c r="E52" s="19">
        <f t="shared" si="13"/>
        <v>3.6710400000000004E-2</v>
      </c>
      <c r="F52" s="19">
        <f t="shared" si="13"/>
        <v>2.9368320000000003E-2</v>
      </c>
      <c r="G52" s="19">
        <f t="shared" si="13"/>
        <v>2.3494656000000003E-2</v>
      </c>
      <c r="H52" s="19">
        <f t="shared" si="13"/>
        <v>1.8795724800000004E-2</v>
      </c>
      <c r="I52" s="19">
        <f t="shared" si="13"/>
        <v>1.5036579840000003E-2</v>
      </c>
      <c r="J52" s="19">
        <f t="shared" si="13"/>
        <v>1.2029263872000004E-2</v>
      </c>
      <c r="K52" s="19">
        <f t="shared" si="13"/>
        <v>9.6234110976000029E-3</v>
      </c>
      <c r="L52" s="19">
        <f t="shared" si="13"/>
        <v>7.698728878080003E-3</v>
      </c>
    </row>
    <row r="53" spans="1:12" x14ac:dyDescent="0.4">
      <c r="A53" s="15" t="s">
        <v>249</v>
      </c>
      <c r="B53" s="19">
        <f t="shared" ref="B53:L53" si="14">B51+B52</f>
        <v>0.1522</v>
      </c>
      <c r="C53" s="19">
        <f t="shared" si="14"/>
        <v>0.13786000000000001</v>
      </c>
      <c r="D53" s="19">
        <f t="shared" si="14"/>
        <v>0.126388</v>
      </c>
      <c r="E53" s="19">
        <f t="shared" si="14"/>
        <v>0.11721040000000001</v>
      </c>
      <c r="F53" s="19">
        <f t="shared" si="14"/>
        <v>0.10986832000000001</v>
      </c>
      <c r="G53" s="19">
        <f t="shared" si="14"/>
        <v>0.103994656</v>
      </c>
      <c r="H53" s="19">
        <f t="shared" si="14"/>
        <v>9.9295724800000013E-2</v>
      </c>
      <c r="I53" s="19">
        <f t="shared" si="14"/>
        <v>9.553657984000001E-2</v>
      </c>
      <c r="J53" s="19">
        <f t="shared" si="14"/>
        <v>9.2529263872E-2</v>
      </c>
      <c r="K53" s="19">
        <f t="shared" si="14"/>
        <v>9.0123411097599998E-2</v>
      </c>
      <c r="L53" s="19">
        <f t="shared" si="14"/>
        <v>8.8198728878080002E-2</v>
      </c>
    </row>
    <row r="54" spans="1:12" x14ac:dyDescent="0.4">
      <c r="A54" s="15" t="s">
        <v>385</v>
      </c>
      <c r="B54" s="20"/>
      <c r="C54" s="20">
        <f t="shared" ref="C54:L54" si="15">B55*C53</f>
        <v>208.58218000000002</v>
      </c>
      <c r="D54" s="20">
        <f t="shared" si="15"/>
        <v>217.58732856584001</v>
      </c>
      <c r="E54" s="20">
        <f t="shared" si="15"/>
        <v>227.29083376680555</v>
      </c>
      <c r="F54" s="20">
        <f t="shared" si="15"/>
        <v>238.02535815871269</v>
      </c>
      <c r="G54" s="20">
        <f t="shared" si="15"/>
        <v>250.05366327951785</v>
      </c>
      <c r="H54" s="20">
        <f t="shared" si="15"/>
        <v>263.58441013576004</v>
      </c>
      <c r="I54" s="20">
        <f t="shared" si="15"/>
        <v>278.78756490883353</v>
      </c>
      <c r="J54" s="20">
        <f t="shared" si="15"/>
        <v>295.80785284464542</v>
      </c>
      <c r="K54" s="20">
        <f t="shared" si="15"/>
        <v>314.77576755846172</v>
      </c>
      <c r="L54" s="20">
        <f t="shared" si="15"/>
        <v>335.81621561277558</v>
      </c>
    </row>
    <row r="55" spans="1:12" x14ac:dyDescent="0.4">
      <c r="A55" s="15" t="s">
        <v>383</v>
      </c>
      <c r="B55" s="20">
        <f>$B$5</f>
        <v>1513</v>
      </c>
      <c r="C55" s="20">
        <f t="shared" ref="C55:L55" si="16">B55+C54</f>
        <v>1721.5821800000001</v>
      </c>
      <c r="D55" s="20">
        <f t="shared" si="16"/>
        <v>1939.16950856584</v>
      </c>
      <c r="E55" s="20">
        <f t="shared" si="16"/>
        <v>2166.4603423326457</v>
      </c>
      <c r="F55" s="20">
        <f t="shared" si="16"/>
        <v>2404.4857004913583</v>
      </c>
      <c r="G55" s="20">
        <f t="shared" si="16"/>
        <v>2654.5393637708762</v>
      </c>
      <c r="H55" s="20">
        <f t="shared" si="16"/>
        <v>2918.1237739066364</v>
      </c>
      <c r="I55" s="20">
        <f t="shared" si="16"/>
        <v>3196.9113388154701</v>
      </c>
      <c r="J55" s="20">
        <f t="shared" si="16"/>
        <v>3492.7191916601155</v>
      </c>
      <c r="K55" s="20">
        <f t="shared" si="16"/>
        <v>3807.4949592185772</v>
      </c>
      <c r="L55" s="20">
        <f t="shared" si="16"/>
        <v>4143.3111748313531</v>
      </c>
    </row>
    <row r="56" spans="1:12" x14ac:dyDescent="0.4">
      <c r="A56" s="15" t="s">
        <v>398</v>
      </c>
      <c r="B56" s="20"/>
      <c r="C56" s="20">
        <f t="shared" ref="C56:L56" si="17">C54-B55*C51</f>
        <v>86.785680000000013</v>
      </c>
      <c r="D56" s="20">
        <f t="shared" si="17"/>
        <v>78.999963075839986</v>
      </c>
      <c r="E56" s="20">
        <f t="shared" si="17"/>
        <v>71.187688327255415</v>
      </c>
      <c r="F56" s="20">
        <f t="shared" si="17"/>
        <v>63.625300600934708</v>
      </c>
      <c r="G56" s="20">
        <f t="shared" si="17"/>
        <v>56.492564389963491</v>
      </c>
      <c r="H56" s="20">
        <f t="shared" si="17"/>
        <v>49.893991352204495</v>
      </c>
      <c r="I56" s="20">
        <f t="shared" si="17"/>
        <v>43.87860110934929</v>
      </c>
      <c r="J56" s="20">
        <f t="shared" si="17"/>
        <v>38.456490070000086</v>
      </c>
      <c r="K56" s="20">
        <f t="shared" si="17"/>
        <v>33.611872629822415</v>
      </c>
      <c r="L56" s="20">
        <f t="shared" si="17"/>
        <v>29.312871395680133</v>
      </c>
    </row>
    <row r="57" spans="1:12" x14ac:dyDescent="0.4">
      <c r="A57" s="15" t="s">
        <v>399</v>
      </c>
      <c r="B57" s="18">
        <f>NPV($B$7,C56:L56)</f>
        <v>397.29236151928063</v>
      </c>
    </row>
    <row r="58" spans="1:12" x14ac:dyDescent="0.4">
      <c r="A58" s="15" t="s">
        <v>402</v>
      </c>
      <c r="B58" s="22">
        <f>B55+B57</f>
        <v>1910.2923615192806</v>
      </c>
    </row>
    <row r="59" spans="1:12" x14ac:dyDescent="0.4">
      <c r="A59" s="15" t="s">
        <v>363</v>
      </c>
      <c r="B59" s="23">
        <f>B58*100000000/$B$10</f>
        <v>12584.401311128717</v>
      </c>
    </row>
    <row r="61" spans="1:12" x14ac:dyDescent="0.4">
      <c r="A61" s="4" t="s">
        <v>425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x14ac:dyDescent="0.4">
      <c r="A62" s="34" t="s">
        <v>405</v>
      </c>
      <c r="B62" s="24"/>
    </row>
    <row r="64" spans="1:12" x14ac:dyDescent="0.4">
      <c r="A64" s="15" t="s">
        <v>382</v>
      </c>
      <c r="B64" s="24">
        <v>2019</v>
      </c>
    </row>
    <row r="65" spans="1:12" x14ac:dyDescent="0.4">
      <c r="A65" s="15" t="s">
        <v>354</v>
      </c>
      <c r="B65" s="12">
        <v>8.0500000000000002E-2</v>
      </c>
    </row>
    <row r="66" spans="1:12" x14ac:dyDescent="0.4">
      <c r="A66" s="15" t="s">
        <v>384</v>
      </c>
      <c r="B66" s="13">
        <f>482432493+17482000</f>
        <v>499914493</v>
      </c>
    </row>
    <row r="67" spans="1:12" x14ac:dyDescent="0.4">
      <c r="A67" s="15" t="s">
        <v>344</v>
      </c>
      <c r="B67" s="13">
        <v>2603926</v>
      </c>
    </row>
    <row r="69" spans="1:12" x14ac:dyDescent="0.4">
      <c r="B69" s="10" t="s">
        <v>416</v>
      </c>
      <c r="C69" s="10" t="s">
        <v>415</v>
      </c>
      <c r="D69" s="10" t="s">
        <v>426</v>
      </c>
    </row>
    <row r="70" spans="1:12" x14ac:dyDescent="0.4">
      <c r="B70" s="10">
        <f>C70-1</f>
        <v>2017</v>
      </c>
      <c r="C70" s="10">
        <f>D70-1</f>
        <v>2018</v>
      </c>
      <c r="D70" s="10">
        <f>B64</f>
        <v>2019</v>
      </c>
      <c r="E70" s="10" t="s">
        <v>427</v>
      </c>
      <c r="F70" s="10" t="s">
        <v>428</v>
      </c>
      <c r="K70" s="28" t="s">
        <v>346</v>
      </c>
      <c r="L70" s="30">
        <f>IF(L71="컨센없음",F71,L71)</f>
        <v>7.2630407072659844E-2</v>
      </c>
    </row>
    <row r="71" spans="1:12" x14ac:dyDescent="0.4">
      <c r="A71" s="14" t="s">
        <v>429</v>
      </c>
      <c r="B71" s="12">
        <v>9.1300000000000006E-2</v>
      </c>
      <c r="C71" s="12">
        <v>9.2100000000000001E-2</v>
      </c>
      <c r="D71" s="12">
        <v>9.0899999999999995E-2</v>
      </c>
      <c r="E71" s="27" t="str">
        <f>IF(D71&gt;C71,IF(C71&gt;B71,"상승추세","추세없음"),IF(C71&lt;B71,"하락추세","추세없음"))</f>
        <v>추세없음</v>
      </c>
      <c r="F71" s="26">
        <f>IF(E71="상승추세",D71,IF(E71="하락추세",D71,(D71*3+C71*2+B71)/6))</f>
        <v>9.1366666666666665E-2</v>
      </c>
      <c r="G71" s="3"/>
      <c r="K71" s="28" t="s">
        <v>349</v>
      </c>
      <c r="L71" s="30">
        <f>IF(E76="",IF(D76="",IF(C76="","컨센없음",C76),D76),E76)</f>
        <v>7.2630407072659844E-2</v>
      </c>
    </row>
    <row r="72" spans="1:12" x14ac:dyDescent="0.4">
      <c r="B72" s="51">
        <f>B76</f>
        <v>9.0899999999999995E-2</v>
      </c>
      <c r="C72" s="52">
        <f>C76</f>
        <v>7.6663887559631577E-2</v>
      </c>
      <c r="D72" s="52">
        <f>D76</f>
        <v>7.3659114138905468E-2</v>
      </c>
      <c r="E72" s="53">
        <f>E76</f>
        <v>7.2630407072659844E-2</v>
      </c>
      <c r="K72" s="28" t="s">
        <v>351</v>
      </c>
      <c r="L72" s="30">
        <f>(D71*3+C71*2+B71)/6</f>
        <v>9.1366666666666665E-2</v>
      </c>
    </row>
    <row r="73" spans="1:12" x14ac:dyDescent="0.4">
      <c r="A73" s="15" t="s">
        <v>430</v>
      </c>
      <c r="B73" s="10" t="str">
        <f>D70&amp;"(확정)"</f>
        <v>2019(확정)</v>
      </c>
      <c r="C73" s="10" t="str">
        <f>D70+1&amp;"(예상)"</f>
        <v>2020(예상)</v>
      </c>
      <c r="D73" s="10" t="str">
        <f>D70+2&amp;"(예상)"</f>
        <v>2021(예상)</v>
      </c>
      <c r="E73" s="10" t="str">
        <f>D70+3&amp;"(예상)"</f>
        <v>2022(예상)</v>
      </c>
      <c r="G73" s="48">
        <f>D70+G74</f>
        <v>2022</v>
      </c>
      <c r="K73" s="28" t="s">
        <v>352</v>
      </c>
      <c r="L73" s="30">
        <f>D71</f>
        <v>9.0899999999999995E-2</v>
      </c>
    </row>
    <row r="74" spans="1:12" x14ac:dyDescent="0.4">
      <c r="A74" s="15" t="s">
        <v>431</v>
      </c>
      <c r="B74" s="25">
        <v>34035</v>
      </c>
      <c r="C74" s="25">
        <v>31080</v>
      </c>
      <c r="D74" s="25">
        <v>31853</v>
      </c>
      <c r="E74" s="25">
        <v>33305</v>
      </c>
      <c r="G74" s="48">
        <f>COUNT(C74:E74)</f>
        <v>3</v>
      </c>
      <c r="K74" s="28" t="s">
        <v>432</v>
      </c>
      <c r="L74" s="30">
        <f>B79</f>
        <v>0.15</v>
      </c>
    </row>
    <row r="75" spans="1:12" x14ac:dyDescent="0.4">
      <c r="A75" s="15" t="s">
        <v>433</v>
      </c>
      <c r="B75" s="25">
        <v>391779</v>
      </c>
      <c r="C75" s="25">
        <v>419033</v>
      </c>
      <c r="D75" s="25">
        <v>445843</v>
      </c>
      <c r="E75" s="25">
        <v>471266</v>
      </c>
      <c r="G75" s="48">
        <f>COUNT(C75:E75)</f>
        <v>3</v>
      </c>
    </row>
    <row r="76" spans="1:12" x14ac:dyDescent="0.4">
      <c r="A76" s="14" t="s">
        <v>434</v>
      </c>
      <c r="B76" s="19">
        <f>D71</f>
        <v>9.0899999999999995E-2</v>
      </c>
      <c r="C76" s="6">
        <f>IF(C74*C75=0,"",C74*2/(B75+C75))</f>
        <v>7.6663887559631577E-2</v>
      </c>
      <c r="D76" s="6">
        <f>IF(D74*D75=0,"",D74*2/(C75+D75))</f>
        <v>7.3659114138905468E-2</v>
      </c>
      <c r="E76" s="6">
        <f>IF(E74*E75=0,"",E74*2/(D75+E75))</f>
        <v>7.2630407072659844E-2</v>
      </c>
      <c r="G76" s="48">
        <f>MIN(G74:G75)</f>
        <v>3</v>
      </c>
    </row>
    <row r="77" spans="1:12" x14ac:dyDescent="0.4">
      <c r="B77" s="57">
        <f>DATE(D70,12,31)</f>
        <v>43830</v>
      </c>
      <c r="C77" s="58">
        <f>DATE(D70+1,12,31)</f>
        <v>44196</v>
      </c>
      <c r="D77" s="58">
        <f>DATE(D70+2,12,31)</f>
        <v>44561</v>
      </c>
      <c r="E77" s="59">
        <f>DATE(D70+3,12,31)</f>
        <v>44926</v>
      </c>
    </row>
    <row r="78" spans="1:12" x14ac:dyDescent="0.4">
      <c r="A78" s="31" t="s">
        <v>361</v>
      </c>
      <c r="B78" s="54" t="s">
        <v>346</v>
      </c>
      <c r="C78" s="55">
        <f>VLOOKUP($B$78,$K$70:$L$74,2,FALSE)</f>
        <v>7.2630407072659844E-2</v>
      </c>
      <c r="E78" s="56" t="s">
        <v>386</v>
      </c>
      <c r="F78" s="50">
        <f>HLOOKUP(F79,$B$75:$E$77,3,FALSE)</f>
        <v>44926</v>
      </c>
      <c r="G78" s="5" t="s">
        <v>387</v>
      </c>
      <c r="H78" s="60">
        <f ca="1">TODAY()</f>
        <v>46101</v>
      </c>
    </row>
    <row r="79" spans="1:12" x14ac:dyDescent="0.4">
      <c r="A79" s="32" t="str">
        <f>IF(B78="별도 추정","별도 추정 ROE(옵션)","")</f>
        <v/>
      </c>
      <c r="B79" s="33">
        <v>0.15</v>
      </c>
      <c r="E79" s="5" t="s">
        <v>389</v>
      </c>
      <c r="F79" s="49">
        <f>IF(ISNA(HLOOKUP(C78,B72:E75,4,FALSE)),B75,HLOOKUP(C78,B72:E75,4,FALSE))</f>
        <v>471266</v>
      </c>
      <c r="G79" s="5" t="s">
        <v>390</v>
      </c>
      <c r="H79" s="61">
        <f ca="1">F78-H78</f>
        <v>-1175</v>
      </c>
    </row>
    <row r="81" spans="1:12" ht="16.5" customHeight="1" x14ac:dyDescent="0.4">
      <c r="A81" s="9" t="s">
        <v>347</v>
      </c>
      <c r="B81" s="47" t="s">
        <v>391</v>
      </c>
      <c r="C81" s="47" t="s">
        <v>367</v>
      </c>
      <c r="D81" s="47" t="s">
        <v>392</v>
      </c>
    </row>
    <row r="82" spans="1:12" ht="16.5" customHeight="1" x14ac:dyDescent="0.4">
      <c r="A82" s="39" t="s">
        <v>393</v>
      </c>
      <c r="B82" s="40">
        <f ca="1">C96</f>
        <v>562035.26328530023</v>
      </c>
      <c r="C82" s="41">
        <f ca="1">C97</f>
        <v>113014.94490168359</v>
      </c>
      <c r="D82" s="42" t="s">
        <v>369</v>
      </c>
    </row>
    <row r="83" spans="1:12" ht="16.5" customHeight="1" x14ac:dyDescent="0.4">
      <c r="A83" s="35" t="s">
        <v>370</v>
      </c>
      <c r="B83" s="36">
        <f ca="1">C109</f>
        <v>481615.31567830965</v>
      </c>
      <c r="C83" s="37">
        <f ca="1">C110</f>
        <v>96843.973894146053</v>
      </c>
      <c r="D83" s="38" t="s">
        <v>394</v>
      </c>
    </row>
    <row r="84" spans="1:12" ht="16.5" customHeight="1" x14ac:dyDescent="0.4">
      <c r="A84" s="43" t="s">
        <v>372</v>
      </c>
      <c r="B84" s="44">
        <f ca="1">C122</f>
        <v>489746.28385326173</v>
      </c>
      <c r="C84" s="45">
        <f ca="1">C123</f>
        <v>98478.961910588507</v>
      </c>
      <c r="D84" s="46" t="s">
        <v>371</v>
      </c>
    </row>
    <row r="85" spans="1:12" ht="16.5" customHeight="1" x14ac:dyDescent="0.4"/>
    <row r="86" spans="1:12" x14ac:dyDescent="0.4">
      <c r="A86" s="17" t="s">
        <v>395</v>
      </c>
      <c r="B86" s="21">
        <v>1</v>
      </c>
    </row>
    <row r="87" spans="1:12" x14ac:dyDescent="0.4">
      <c r="A87" s="16" t="s">
        <v>396</v>
      </c>
      <c r="B87" s="5" t="s">
        <v>414</v>
      </c>
      <c r="C87" s="5" t="s">
        <v>415</v>
      </c>
      <c r="D87" s="5" t="s">
        <v>416</v>
      </c>
      <c r="E87" s="5" t="s">
        <v>417</v>
      </c>
      <c r="F87" s="5" t="s">
        <v>418</v>
      </c>
      <c r="G87" s="5" t="s">
        <v>419</v>
      </c>
      <c r="H87" s="5" t="s">
        <v>420</v>
      </c>
      <c r="I87" s="5" t="s">
        <v>421</v>
      </c>
      <c r="J87" s="5" t="s">
        <v>422</v>
      </c>
      <c r="K87" s="5" t="s">
        <v>423</v>
      </c>
      <c r="L87" s="5" t="s">
        <v>424</v>
      </c>
    </row>
    <row r="88" spans="1:12" x14ac:dyDescent="0.4">
      <c r="A88" s="15" t="s">
        <v>354</v>
      </c>
      <c r="B88" s="19">
        <f>$B$65</f>
        <v>8.0500000000000002E-2</v>
      </c>
      <c r="C88" s="19">
        <f t="shared" ref="C88:L88" si="18">B88</f>
        <v>8.0500000000000002E-2</v>
      </c>
      <c r="D88" s="19">
        <f t="shared" si="18"/>
        <v>8.0500000000000002E-2</v>
      </c>
      <c r="E88" s="19">
        <f t="shared" si="18"/>
        <v>8.0500000000000002E-2</v>
      </c>
      <c r="F88" s="19">
        <f t="shared" si="18"/>
        <v>8.0500000000000002E-2</v>
      </c>
      <c r="G88" s="19">
        <f t="shared" si="18"/>
        <v>8.0500000000000002E-2</v>
      </c>
      <c r="H88" s="19">
        <f t="shared" si="18"/>
        <v>8.0500000000000002E-2</v>
      </c>
      <c r="I88" s="19">
        <f t="shared" si="18"/>
        <v>8.0500000000000002E-2</v>
      </c>
      <c r="J88" s="19">
        <f t="shared" si="18"/>
        <v>8.0500000000000002E-2</v>
      </c>
      <c r="K88" s="19">
        <f t="shared" si="18"/>
        <v>8.0500000000000002E-2</v>
      </c>
      <c r="L88" s="19">
        <f t="shared" si="18"/>
        <v>8.0500000000000002E-2</v>
      </c>
    </row>
    <row r="89" spans="1:12" x14ac:dyDescent="0.4">
      <c r="A89" s="15" t="s">
        <v>397</v>
      </c>
      <c r="B89" s="19">
        <f>$C$78-B88</f>
        <v>-7.8695929273401577E-3</v>
      </c>
      <c r="C89" s="19">
        <f t="shared" ref="C89:L89" si="19">B89*$B$86</f>
        <v>-7.8695929273401577E-3</v>
      </c>
      <c r="D89" s="19">
        <f t="shared" si="19"/>
        <v>-7.8695929273401577E-3</v>
      </c>
      <c r="E89" s="19">
        <f t="shared" si="19"/>
        <v>-7.8695929273401577E-3</v>
      </c>
      <c r="F89" s="19">
        <f t="shared" si="19"/>
        <v>-7.8695929273401577E-3</v>
      </c>
      <c r="G89" s="19">
        <f t="shared" si="19"/>
        <v>-7.8695929273401577E-3</v>
      </c>
      <c r="H89" s="19">
        <f t="shared" si="19"/>
        <v>-7.8695929273401577E-3</v>
      </c>
      <c r="I89" s="19">
        <f t="shared" si="19"/>
        <v>-7.8695929273401577E-3</v>
      </c>
      <c r="J89" s="19">
        <f t="shared" si="19"/>
        <v>-7.8695929273401577E-3</v>
      </c>
      <c r="K89" s="19">
        <f t="shared" si="19"/>
        <v>-7.8695929273401577E-3</v>
      </c>
      <c r="L89" s="19">
        <f t="shared" si="19"/>
        <v>-7.8695929273401577E-3</v>
      </c>
    </row>
    <row r="90" spans="1:12" x14ac:dyDescent="0.4">
      <c r="A90" s="15" t="s">
        <v>249</v>
      </c>
      <c r="B90" s="19">
        <f t="shared" ref="B90:L90" si="20">B88+B89</f>
        <v>7.2630407072659844E-2</v>
      </c>
      <c r="C90" s="19">
        <f t="shared" si="20"/>
        <v>7.2630407072659844E-2</v>
      </c>
      <c r="D90" s="19">
        <f t="shared" si="20"/>
        <v>7.2630407072659844E-2</v>
      </c>
      <c r="E90" s="19">
        <f t="shared" si="20"/>
        <v>7.2630407072659844E-2</v>
      </c>
      <c r="F90" s="19">
        <f t="shared" si="20"/>
        <v>7.2630407072659844E-2</v>
      </c>
      <c r="G90" s="19">
        <f t="shared" si="20"/>
        <v>7.2630407072659844E-2</v>
      </c>
      <c r="H90" s="19">
        <f t="shared" si="20"/>
        <v>7.2630407072659844E-2</v>
      </c>
      <c r="I90" s="19">
        <f t="shared" si="20"/>
        <v>7.2630407072659844E-2</v>
      </c>
      <c r="J90" s="19">
        <f t="shared" si="20"/>
        <v>7.2630407072659844E-2</v>
      </c>
      <c r="K90" s="19">
        <f t="shared" si="20"/>
        <v>7.2630407072659844E-2</v>
      </c>
      <c r="L90" s="19">
        <f t="shared" si="20"/>
        <v>7.2630407072659844E-2</v>
      </c>
    </row>
    <row r="91" spans="1:12" x14ac:dyDescent="0.4">
      <c r="A91" s="15" t="s">
        <v>385</v>
      </c>
      <c r="B91" s="20"/>
      <c r="C91" s="20">
        <f t="shared" ref="C91:L91" si="21">B92*C90</f>
        <v>34228.241419504113</v>
      </c>
      <c r="D91" s="20">
        <f t="shared" si="21"/>
        <v>36714.252527183977</v>
      </c>
      <c r="E91" s="20">
        <f t="shared" si="21"/>
        <v>39380.82363360178</v>
      </c>
      <c r="F91" s="20">
        <f t="shared" si="21"/>
        <v>42241.068884966902</v>
      </c>
      <c r="G91" s="20">
        <f t="shared" si="21"/>
        <v>45309.054913266315</v>
      </c>
      <c r="H91" s="20">
        <f t="shared" si="21"/>
        <v>48599.870015694345</v>
      </c>
      <c r="I91" s="20">
        <f t="shared" si="21"/>
        <v>52129.698358612579</v>
      </c>
      <c r="J91" s="20">
        <f t="shared" si="21"/>
        <v>55915.899570973575</v>
      </c>
      <c r="K91" s="20">
        <f t="shared" si="21"/>
        <v>59977.094118647357</v>
      </c>
      <c r="L91" s="20">
        <f t="shared" si="21"/>
        <v>64333.254879519947</v>
      </c>
    </row>
    <row r="92" spans="1:12" x14ac:dyDescent="0.4">
      <c r="A92" s="15" t="s">
        <v>383</v>
      </c>
      <c r="B92" s="20">
        <f>$F$79</f>
        <v>471266</v>
      </c>
      <c r="C92" s="20">
        <f t="shared" ref="C92:L92" si="22">B92+C91</f>
        <v>505494.24141950411</v>
      </c>
      <c r="D92" s="20">
        <f t="shared" si="22"/>
        <v>542208.49394668813</v>
      </c>
      <c r="E92" s="20">
        <f t="shared" si="22"/>
        <v>581589.31758028991</v>
      </c>
      <c r="F92" s="20">
        <f t="shared" si="22"/>
        <v>623830.3864652568</v>
      </c>
      <c r="G92" s="20">
        <f t="shared" si="22"/>
        <v>669139.44137852313</v>
      </c>
      <c r="H92" s="20">
        <f t="shared" si="22"/>
        <v>717739.31139421742</v>
      </c>
      <c r="I92" s="20">
        <f t="shared" si="22"/>
        <v>769869.00975283002</v>
      </c>
      <c r="J92" s="20">
        <f t="shared" si="22"/>
        <v>825784.90932380361</v>
      </c>
      <c r="K92" s="20">
        <f t="shared" si="22"/>
        <v>885762.00344245101</v>
      </c>
      <c r="L92" s="20">
        <f t="shared" si="22"/>
        <v>950095.25832197093</v>
      </c>
    </row>
    <row r="93" spans="1:12" x14ac:dyDescent="0.4">
      <c r="A93" s="15" t="s">
        <v>398</v>
      </c>
      <c r="B93" s="20"/>
      <c r="C93" s="20">
        <f t="shared" ref="C93:L93" si="23">C91-B92*C88</f>
        <v>-3708.6715804958876</v>
      </c>
      <c r="D93" s="20">
        <f t="shared" si="23"/>
        <v>-3978.0339070861082</v>
      </c>
      <c r="E93" s="20">
        <f t="shared" si="23"/>
        <v>-4266.9601291066137</v>
      </c>
      <c r="F93" s="20">
        <f t="shared" si="23"/>
        <v>-4576.8711802464386</v>
      </c>
      <c r="G93" s="20">
        <f t="shared" si="23"/>
        <v>-4909.2911971868598</v>
      </c>
      <c r="H93" s="20">
        <f t="shared" si="23"/>
        <v>-5265.8550152767712</v>
      </c>
      <c r="I93" s="20">
        <f t="shared" si="23"/>
        <v>-5648.3162086219236</v>
      </c>
      <c r="J93" s="20">
        <f t="shared" si="23"/>
        <v>-6058.5557141292447</v>
      </c>
      <c r="K93" s="20">
        <f t="shared" si="23"/>
        <v>-6498.5910819188357</v>
      </c>
      <c r="L93" s="20">
        <f t="shared" si="23"/>
        <v>-6970.5863975973552</v>
      </c>
    </row>
    <row r="94" spans="1:12" x14ac:dyDescent="0.4">
      <c r="A94" s="15" t="s">
        <v>399</v>
      </c>
      <c r="B94" s="62">
        <f>NPV($B$7,C93:L93)</f>
        <v>-33220.282914310883</v>
      </c>
    </row>
    <row r="95" spans="1:12" ht="16.5" customHeight="1" x14ac:dyDescent="0.4">
      <c r="B95" s="47" t="s">
        <v>400</v>
      </c>
      <c r="C95" s="47" t="s">
        <v>401</v>
      </c>
    </row>
    <row r="96" spans="1:12" x14ac:dyDescent="0.4">
      <c r="A96" s="15" t="s">
        <v>402</v>
      </c>
      <c r="B96" s="63">
        <f>B92+B94</f>
        <v>438045.71708568913</v>
      </c>
      <c r="C96" s="63">
        <f ca="1">B96/(1+$B$65)^($H$79/365)</f>
        <v>562035.26328530023</v>
      </c>
    </row>
    <row r="97" spans="1:12" x14ac:dyDescent="0.4">
      <c r="A97" s="15" t="s">
        <v>363</v>
      </c>
      <c r="B97" s="23">
        <f>B96*100000000/($B$66-$B$67)</f>
        <v>88082.929692843056</v>
      </c>
      <c r="C97" s="23">
        <f ca="1">B97/(1+$B$65)^($H$79/365)</f>
        <v>113014.94490168359</v>
      </c>
    </row>
    <row r="99" spans="1:12" x14ac:dyDescent="0.4">
      <c r="A99" s="17" t="s">
        <v>395</v>
      </c>
      <c r="B99" s="21">
        <v>0.9</v>
      </c>
    </row>
    <row r="100" spans="1:12" x14ac:dyDescent="0.4">
      <c r="A100" s="16" t="s">
        <v>396</v>
      </c>
      <c r="B100" s="5" t="s">
        <v>414</v>
      </c>
      <c r="C100" s="5" t="s">
        <v>415</v>
      </c>
      <c r="D100" s="5" t="s">
        <v>416</v>
      </c>
      <c r="E100" s="5" t="s">
        <v>417</v>
      </c>
      <c r="F100" s="5" t="s">
        <v>418</v>
      </c>
      <c r="G100" s="5" t="s">
        <v>419</v>
      </c>
      <c r="H100" s="5" t="s">
        <v>420</v>
      </c>
      <c r="I100" s="5" t="s">
        <v>421</v>
      </c>
      <c r="J100" s="5" t="s">
        <v>422</v>
      </c>
      <c r="K100" s="5" t="s">
        <v>423</v>
      </c>
      <c r="L100" s="5" t="s">
        <v>424</v>
      </c>
    </row>
    <row r="101" spans="1:12" x14ac:dyDescent="0.4">
      <c r="A101" s="15" t="s">
        <v>354</v>
      </c>
      <c r="B101" s="19">
        <f>$B$65</f>
        <v>8.0500000000000002E-2</v>
      </c>
      <c r="C101" s="19">
        <f t="shared" ref="C101:L101" si="24">B101</f>
        <v>8.0500000000000002E-2</v>
      </c>
      <c r="D101" s="19">
        <f t="shared" si="24"/>
        <v>8.0500000000000002E-2</v>
      </c>
      <c r="E101" s="19">
        <f t="shared" si="24"/>
        <v>8.0500000000000002E-2</v>
      </c>
      <c r="F101" s="19">
        <f t="shared" si="24"/>
        <v>8.0500000000000002E-2</v>
      </c>
      <c r="G101" s="19">
        <f t="shared" si="24"/>
        <v>8.0500000000000002E-2</v>
      </c>
      <c r="H101" s="19">
        <f t="shared" si="24"/>
        <v>8.0500000000000002E-2</v>
      </c>
      <c r="I101" s="19">
        <f t="shared" si="24"/>
        <v>8.0500000000000002E-2</v>
      </c>
      <c r="J101" s="19">
        <f t="shared" si="24"/>
        <v>8.0500000000000002E-2</v>
      </c>
      <c r="K101" s="19">
        <f t="shared" si="24"/>
        <v>8.0500000000000002E-2</v>
      </c>
      <c r="L101" s="19">
        <f t="shared" si="24"/>
        <v>8.0500000000000002E-2</v>
      </c>
    </row>
    <row r="102" spans="1:12" x14ac:dyDescent="0.4">
      <c r="A102" s="15" t="s">
        <v>397</v>
      </c>
      <c r="B102" s="19">
        <f>$C$78-B101</f>
        <v>-7.8695929273401577E-3</v>
      </c>
      <c r="C102" s="19">
        <f t="shared" ref="C102:L102" si="25">B102*$B$99</f>
        <v>-7.0826336346061424E-3</v>
      </c>
      <c r="D102" s="19">
        <f t="shared" si="25"/>
        <v>-6.3743702711455286E-3</v>
      </c>
      <c r="E102" s="19">
        <f t="shared" si="25"/>
        <v>-5.7369332440309756E-3</v>
      </c>
      <c r="F102" s="19">
        <f t="shared" si="25"/>
        <v>-5.1632399196278782E-3</v>
      </c>
      <c r="G102" s="19">
        <f t="shared" si="25"/>
        <v>-4.6469159276650903E-3</v>
      </c>
      <c r="H102" s="19">
        <f t="shared" si="25"/>
        <v>-4.1822243348985811E-3</v>
      </c>
      <c r="I102" s="19">
        <f t="shared" si="25"/>
        <v>-3.7640019014087232E-3</v>
      </c>
      <c r="J102" s="19">
        <f t="shared" si="25"/>
        <v>-3.3876017112678511E-3</v>
      </c>
      <c r="K102" s="19">
        <f t="shared" si="25"/>
        <v>-3.048841540141066E-3</v>
      </c>
      <c r="L102" s="19">
        <f t="shared" si="25"/>
        <v>-2.7439573861269594E-3</v>
      </c>
    </row>
    <row r="103" spans="1:12" x14ac:dyDescent="0.4">
      <c r="A103" s="15" t="s">
        <v>249</v>
      </c>
      <c r="B103" s="19">
        <f t="shared" ref="B103:L103" si="26">B101+B102</f>
        <v>7.2630407072659844E-2</v>
      </c>
      <c r="C103" s="19">
        <f t="shared" si="26"/>
        <v>7.3417366365393866E-2</v>
      </c>
      <c r="D103" s="19">
        <f t="shared" si="26"/>
        <v>7.4125629728854475E-2</v>
      </c>
      <c r="E103" s="19">
        <f t="shared" si="26"/>
        <v>7.4763066755969027E-2</v>
      </c>
      <c r="F103" s="19">
        <f t="shared" si="26"/>
        <v>7.5336760080372128E-2</v>
      </c>
      <c r="G103" s="19">
        <f t="shared" si="26"/>
        <v>7.5853084072334917E-2</v>
      </c>
      <c r="H103" s="19">
        <f t="shared" si="26"/>
        <v>7.6317775665101423E-2</v>
      </c>
      <c r="I103" s="19">
        <f t="shared" si="26"/>
        <v>7.6735998098591274E-2</v>
      </c>
      <c r="J103" s="19">
        <f t="shared" si="26"/>
        <v>7.7112398288732148E-2</v>
      </c>
      <c r="K103" s="19">
        <f t="shared" si="26"/>
        <v>7.7451158459858935E-2</v>
      </c>
      <c r="L103" s="19">
        <f t="shared" si="26"/>
        <v>7.7756042613873047E-2</v>
      </c>
    </row>
    <row r="104" spans="1:12" x14ac:dyDescent="0.4">
      <c r="A104" s="15" t="s">
        <v>385</v>
      </c>
      <c r="B104" s="20"/>
      <c r="C104" s="20">
        <f t="shared" ref="C104:L104" si="27">B105*C103</f>
        <v>28763.382377267644</v>
      </c>
      <c r="D104" s="20">
        <f t="shared" si="27"/>
        <v>31172.968921387677</v>
      </c>
      <c r="E104" s="20">
        <f t="shared" si="27"/>
        <v>33771.62496383737</v>
      </c>
      <c r="F104" s="20">
        <f t="shared" si="27"/>
        <v>36575.01585283273</v>
      </c>
      <c r="G104" s="20">
        <f t="shared" si="27"/>
        <v>39600.012178894423</v>
      </c>
      <c r="H104" s="20">
        <f t="shared" si="27"/>
        <v>42864.794843337506</v>
      </c>
      <c r="I104" s="20">
        <f t="shared" si="27"/>
        <v>46388.96730916707</v>
      </c>
      <c r="J104" s="20">
        <f t="shared" si="27"/>
        <v>50193.675834655165</v>
      </c>
      <c r="K104" s="20">
        <f t="shared" si="27"/>
        <v>54301.738511838455</v>
      </c>
      <c r="L104" s="20">
        <f t="shared" si="27"/>
        <v>58737.783964753624</v>
      </c>
    </row>
    <row r="105" spans="1:12" x14ac:dyDescent="0.4">
      <c r="A105" s="15" t="s">
        <v>383</v>
      </c>
      <c r="B105" s="20">
        <f>$B$75</f>
        <v>391779</v>
      </c>
      <c r="C105" s="20">
        <f t="shared" ref="C105:L105" si="28">B105+C104</f>
        <v>420542.38237726764</v>
      </c>
      <c r="D105" s="20">
        <f t="shared" si="28"/>
        <v>451715.35129865533</v>
      </c>
      <c r="E105" s="20">
        <f t="shared" si="28"/>
        <v>485486.97626249271</v>
      </c>
      <c r="F105" s="20">
        <f t="shared" si="28"/>
        <v>522061.99211532541</v>
      </c>
      <c r="G105" s="20">
        <f t="shared" si="28"/>
        <v>561662.00429421989</v>
      </c>
      <c r="H105" s="20">
        <f t="shared" si="28"/>
        <v>604526.79913755739</v>
      </c>
      <c r="I105" s="20">
        <f t="shared" si="28"/>
        <v>650915.76644672442</v>
      </c>
      <c r="J105" s="20">
        <f t="shared" si="28"/>
        <v>701109.4422813796</v>
      </c>
      <c r="K105" s="20">
        <f t="shared" si="28"/>
        <v>755411.18079321808</v>
      </c>
      <c r="L105" s="20">
        <f t="shared" si="28"/>
        <v>814148.9647579717</v>
      </c>
    </row>
    <row r="106" spans="1:12" x14ac:dyDescent="0.4">
      <c r="A106" s="15" t="s">
        <v>398</v>
      </c>
      <c r="B106" s="20"/>
      <c r="C106" s="20">
        <f t="shared" ref="C106:L106" si="29">C104-B105*C101</f>
        <v>-2774.8271227323567</v>
      </c>
      <c r="D106" s="20">
        <f t="shared" si="29"/>
        <v>-2680.6928599823659</v>
      </c>
      <c r="E106" s="20">
        <f t="shared" si="29"/>
        <v>-2591.460815704384</v>
      </c>
      <c r="F106" s="20">
        <f t="shared" si="29"/>
        <v>-2506.6857362979354</v>
      </c>
      <c r="G106" s="20">
        <f t="shared" si="29"/>
        <v>-2425.9781863892713</v>
      </c>
      <c r="H106" s="20">
        <f t="shared" si="29"/>
        <v>-2348.9965023471959</v>
      </c>
      <c r="I106" s="20">
        <f t="shared" si="29"/>
        <v>-2275.4400214062989</v>
      </c>
      <c r="J106" s="20">
        <f t="shared" si="29"/>
        <v>-2205.0433643061551</v>
      </c>
      <c r="K106" s="20">
        <f t="shared" si="29"/>
        <v>-2137.5715918126007</v>
      </c>
      <c r="L106" s="20">
        <f t="shared" si="29"/>
        <v>-2072.81608910043</v>
      </c>
    </row>
    <row r="107" spans="1:12" x14ac:dyDescent="0.4">
      <c r="A107" s="15" t="s">
        <v>399</v>
      </c>
      <c r="B107" s="18">
        <f>NPV($B$7,C106:L106)</f>
        <v>-16411.936583796865</v>
      </c>
    </row>
    <row r="108" spans="1:12" ht="16.5" customHeight="1" x14ac:dyDescent="0.4">
      <c r="B108" s="47" t="s">
        <v>400</v>
      </c>
      <c r="C108" s="47" t="s">
        <v>401</v>
      </c>
    </row>
    <row r="109" spans="1:12" x14ac:dyDescent="0.4">
      <c r="A109" s="15" t="s">
        <v>402</v>
      </c>
      <c r="B109" s="22">
        <f>B105+B107</f>
        <v>375367.06341620313</v>
      </c>
      <c r="C109" s="63">
        <f ca="1">B109/(1+$B$65)^($H$79/365)</f>
        <v>481615.31567830965</v>
      </c>
    </row>
    <row r="110" spans="1:12" x14ac:dyDescent="0.4">
      <c r="A110" s="15" t="s">
        <v>363</v>
      </c>
      <c r="B110" s="23">
        <f>B109*100000000/($B$66-$B$67)</f>
        <v>75479.406295463486</v>
      </c>
      <c r="C110" s="23">
        <f ca="1">B110/(1+$B$65)^($H$79/365)</f>
        <v>96843.973894146053</v>
      </c>
    </row>
    <row r="112" spans="1:12" x14ac:dyDescent="0.4">
      <c r="A112" s="17" t="s">
        <v>395</v>
      </c>
      <c r="B112" s="21">
        <v>0.8</v>
      </c>
    </row>
    <row r="113" spans="1:12" x14ac:dyDescent="0.4">
      <c r="A113" s="16" t="s">
        <v>396</v>
      </c>
      <c r="B113" s="5" t="s">
        <v>414</v>
      </c>
      <c r="C113" s="5" t="s">
        <v>415</v>
      </c>
      <c r="D113" s="5" t="s">
        <v>416</v>
      </c>
      <c r="E113" s="5" t="s">
        <v>417</v>
      </c>
      <c r="F113" s="5" t="s">
        <v>418</v>
      </c>
      <c r="G113" s="5" t="s">
        <v>419</v>
      </c>
      <c r="H113" s="5" t="s">
        <v>420</v>
      </c>
      <c r="I113" s="5" t="s">
        <v>421</v>
      </c>
      <c r="J113" s="5" t="s">
        <v>422</v>
      </c>
      <c r="K113" s="5" t="s">
        <v>423</v>
      </c>
      <c r="L113" s="5" t="s">
        <v>424</v>
      </c>
    </row>
    <row r="114" spans="1:12" x14ac:dyDescent="0.4">
      <c r="A114" s="15" t="s">
        <v>354</v>
      </c>
      <c r="B114" s="19">
        <f>$B$65</f>
        <v>8.0500000000000002E-2</v>
      </c>
      <c r="C114" s="19">
        <f t="shared" ref="C114:L114" si="30">B114</f>
        <v>8.0500000000000002E-2</v>
      </c>
      <c r="D114" s="19">
        <f t="shared" si="30"/>
        <v>8.0500000000000002E-2</v>
      </c>
      <c r="E114" s="19">
        <f t="shared" si="30"/>
        <v>8.0500000000000002E-2</v>
      </c>
      <c r="F114" s="19">
        <f t="shared" si="30"/>
        <v>8.0500000000000002E-2</v>
      </c>
      <c r="G114" s="19">
        <f t="shared" si="30"/>
        <v>8.0500000000000002E-2</v>
      </c>
      <c r="H114" s="19">
        <f t="shared" si="30"/>
        <v>8.0500000000000002E-2</v>
      </c>
      <c r="I114" s="19">
        <f t="shared" si="30"/>
        <v>8.0500000000000002E-2</v>
      </c>
      <c r="J114" s="19">
        <f t="shared" si="30"/>
        <v>8.0500000000000002E-2</v>
      </c>
      <c r="K114" s="19">
        <f t="shared" si="30"/>
        <v>8.0500000000000002E-2</v>
      </c>
      <c r="L114" s="19">
        <f t="shared" si="30"/>
        <v>8.0500000000000002E-2</v>
      </c>
    </row>
    <row r="115" spans="1:12" x14ac:dyDescent="0.4">
      <c r="A115" s="15" t="s">
        <v>397</v>
      </c>
      <c r="B115" s="19">
        <f>$C$78-B114</f>
        <v>-7.8695929273401577E-3</v>
      </c>
      <c r="C115" s="19">
        <f t="shared" ref="C115:L115" si="31">B115*$B$112</f>
        <v>-6.2956743418721263E-3</v>
      </c>
      <c r="D115" s="19">
        <f t="shared" si="31"/>
        <v>-5.0365394734977016E-3</v>
      </c>
      <c r="E115" s="19">
        <f t="shared" si="31"/>
        <v>-4.0292315787981616E-3</v>
      </c>
      <c r="F115" s="19">
        <f t="shared" si="31"/>
        <v>-3.2233852630385294E-3</v>
      </c>
      <c r="G115" s="19">
        <f t="shared" si="31"/>
        <v>-2.5787082104308237E-3</v>
      </c>
      <c r="H115" s="19">
        <f t="shared" si="31"/>
        <v>-2.0629665683446589E-3</v>
      </c>
      <c r="I115" s="19">
        <f t="shared" si="31"/>
        <v>-1.6503732546757272E-3</v>
      </c>
      <c r="J115" s="19">
        <f t="shared" si="31"/>
        <v>-1.320298603740582E-3</v>
      </c>
      <c r="K115" s="19">
        <f t="shared" si="31"/>
        <v>-1.0562388829924655E-3</v>
      </c>
      <c r="L115" s="19">
        <f t="shared" si="31"/>
        <v>-8.4499110639397242E-4</v>
      </c>
    </row>
    <row r="116" spans="1:12" x14ac:dyDescent="0.4">
      <c r="A116" s="15" t="s">
        <v>249</v>
      </c>
      <c r="B116" s="19">
        <f t="shared" ref="B116:L116" si="32">B114+B115</f>
        <v>7.2630407072659844E-2</v>
      </c>
      <c r="C116" s="19">
        <f t="shared" si="32"/>
        <v>7.4204325658127873E-2</v>
      </c>
      <c r="D116" s="19">
        <f t="shared" si="32"/>
        <v>7.5463460526502296E-2</v>
      </c>
      <c r="E116" s="19">
        <f t="shared" si="32"/>
        <v>7.6470768421201846E-2</v>
      </c>
      <c r="F116" s="19">
        <f t="shared" si="32"/>
        <v>7.7276614736961471E-2</v>
      </c>
      <c r="G116" s="19">
        <f t="shared" si="32"/>
        <v>7.7921291789569178E-2</v>
      </c>
      <c r="H116" s="19">
        <f t="shared" si="32"/>
        <v>7.843703343165534E-2</v>
      </c>
      <c r="I116" s="19">
        <f t="shared" si="32"/>
        <v>7.8849626745324281E-2</v>
      </c>
      <c r="J116" s="19">
        <f t="shared" si="32"/>
        <v>7.9179701396259419E-2</v>
      </c>
      <c r="K116" s="19">
        <f t="shared" si="32"/>
        <v>7.944376111700753E-2</v>
      </c>
      <c r="L116" s="19">
        <f t="shared" si="32"/>
        <v>7.9655008893606036E-2</v>
      </c>
    </row>
    <row r="117" spans="1:12" x14ac:dyDescent="0.4">
      <c r="A117" s="15" t="s">
        <v>385</v>
      </c>
      <c r="B117" s="20"/>
      <c r="C117" s="20">
        <f t="shared" ref="C117:L117" si="33">B118*C116</f>
        <v>29071.696502015679</v>
      </c>
      <c r="D117" s="20">
        <f t="shared" si="33"/>
        <v>31758.849923030859</v>
      </c>
      <c r="E117" s="20">
        <f t="shared" si="33"/>
        <v>34611.399809894945</v>
      </c>
      <c r="F117" s="20">
        <f t="shared" si="33"/>
        <v>37650.7853539754</v>
      </c>
      <c r="G117" s="20">
        <f t="shared" si="33"/>
        <v>40898.683349236431</v>
      </c>
      <c r="H117" s="20">
        <f t="shared" si="33"/>
        <v>44377.352951145447</v>
      </c>
      <c r="I117" s="20">
        <f t="shared" si="33"/>
        <v>48109.923757563971</v>
      </c>
      <c r="J117" s="20">
        <f t="shared" si="33"/>
        <v>52120.647466389601</v>
      </c>
      <c r="K117" s="20">
        <f t="shared" si="33"/>
        <v>56435.127075209784</v>
      </c>
      <c r="L117" s="20">
        <f t="shared" si="33"/>
        <v>61080.533468978821</v>
      </c>
    </row>
    <row r="118" spans="1:12" x14ac:dyDescent="0.4">
      <c r="A118" s="15" t="s">
        <v>383</v>
      </c>
      <c r="B118" s="20">
        <f>$B$75</f>
        <v>391779</v>
      </c>
      <c r="C118" s="20">
        <f t="shared" ref="C118:L118" si="34">B118+C117</f>
        <v>420850.69650201569</v>
      </c>
      <c r="D118" s="20">
        <f t="shared" si="34"/>
        <v>452609.54642504657</v>
      </c>
      <c r="E118" s="20">
        <f t="shared" si="34"/>
        <v>487220.94623494154</v>
      </c>
      <c r="F118" s="20">
        <f t="shared" si="34"/>
        <v>524871.73158891697</v>
      </c>
      <c r="G118" s="20">
        <f t="shared" si="34"/>
        <v>565770.41493815335</v>
      </c>
      <c r="H118" s="20">
        <f t="shared" si="34"/>
        <v>610147.76788929885</v>
      </c>
      <c r="I118" s="20">
        <f t="shared" si="34"/>
        <v>658257.69164686278</v>
      </c>
      <c r="J118" s="20">
        <f t="shared" si="34"/>
        <v>710378.33911325235</v>
      </c>
      <c r="K118" s="20">
        <f t="shared" si="34"/>
        <v>766813.4661884621</v>
      </c>
      <c r="L118" s="20">
        <f t="shared" si="34"/>
        <v>827893.99965744093</v>
      </c>
    </row>
    <row r="119" spans="1:12" x14ac:dyDescent="0.4">
      <c r="A119" s="15" t="s">
        <v>398</v>
      </c>
      <c r="B119" s="20"/>
      <c r="C119" s="20">
        <f t="shared" ref="C119:L119" si="35">C117-B118*C114</f>
        <v>-2466.5129979843223</v>
      </c>
      <c r="D119" s="20">
        <f t="shared" si="35"/>
        <v>-2119.6311453814051</v>
      </c>
      <c r="E119" s="20">
        <f t="shared" si="35"/>
        <v>-1823.6686773213078</v>
      </c>
      <c r="F119" s="20">
        <f t="shared" si="35"/>
        <v>-1570.5008179373981</v>
      </c>
      <c r="G119" s="20">
        <f t="shared" si="35"/>
        <v>-1353.4910436713835</v>
      </c>
      <c r="H119" s="20">
        <f t="shared" si="35"/>
        <v>-1167.1654513758986</v>
      </c>
      <c r="I119" s="20">
        <f t="shared" si="35"/>
        <v>-1006.9715575245864</v>
      </c>
      <c r="J119" s="20">
        <f t="shared" si="35"/>
        <v>-869.09671118285769</v>
      </c>
      <c r="K119" s="20">
        <f t="shared" si="35"/>
        <v>-750.32922340703226</v>
      </c>
      <c r="L119" s="20">
        <f t="shared" si="35"/>
        <v>-647.95055919238075</v>
      </c>
    </row>
    <row r="120" spans="1:12" x14ac:dyDescent="0.4">
      <c r="A120" s="15" t="s">
        <v>399</v>
      </c>
      <c r="B120" s="18">
        <f>NPV($B$7,C119:L119)</f>
        <v>-10074.726060780635</v>
      </c>
    </row>
    <row r="121" spans="1:12" ht="16.5" customHeight="1" x14ac:dyDescent="0.4">
      <c r="B121" s="47" t="s">
        <v>400</v>
      </c>
      <c r="C121" s="47" t="s">
        <v>401</v>
      </c>
    </row>
    <row r="122" spans="1:12" x14ac:dyDescent="0.4">
      <c r="A122" s="15" t="s">
        <v>402</v>
      </c>
      <c r="B122" s="22">
        <f>B118+B120</f>
        <v>381704.27393921936</v>
      </c>
      <c r="C122" s="63">
        <f ca="1">B122/(1+$B$65)^($H$79/365)</f>
        <v>489746.28385326173</v>
      </c>
    </row>
    <row r="123" spans="1:12" x14ac:dyDescent="0.4">
      <c r="A123" s="15" t="s">
        <v>363</v>
      </c>
      <c r="B123" s="23">
        <f>B122*100000000/($B$66-$B$67)</f>
        <v>76753.702669506994</v>
      </c>
      <c r="C123" s="23">
        <f ca="1">B123/(1+$B$65)^($H$79/365)</f>
        <v>98478.961910588507</v>
      </c>
    </row>
  </sheetData>
  <phoneticPr fontId="2" type="noConversion"/>
  <conditionalFormatting sqref="A79">
    <cfRule type="expression" dxfId="1" priority="2">
      <formula>$B$78="별도 추정"</formula>
    </cfRule>
  </conditionalFormatting>
  <conditionalFormatting sqref="B79">
    <cfRule type="expression" dxfId="0" priority="1">
      <formula>$B$78="별도 추정"</formula>
    </cfRule>
  </conditionalFormatting>
  <dataValidations disablePrompts="1" count="1">
    <dataValidation type="list" allowBlank="1" showInputMessage="1" showErrorMessage="1" sqref="B78" xr:uid="{00000000-0002-0000-0500-000000000000}">
      <formula1>$K$70:$K$74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사용법</vt:lpstr>
      <vt:lpstr>FN_Snapshot</vt:lpstr>
      <vt:lpstr>결과</vt:lpstr>
      <vt:lpstr>Data</vt:lpstr>
      <vt:lpstr>RIM계산</vt:lpstr>
      <vt:lpstr>RIM수기계산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사경인</dc:creator>
  <cp:lastModifiedBy>김명중</cp:lastModifiedBy>
  <dcterms:created xsi:type="dcterms:W3CDTF">2020-05-13T01:35:12Z</dcterms:created>
  <dcterms:modified xsi:type="dcterms:W3CDTF">2026-03-20T06:34:39Z</dcterms:modified>
</cp:coreProperties>
</file>