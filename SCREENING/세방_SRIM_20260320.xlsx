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5824AA0-BFF2-4AAD-AE3B-7500EE09C46B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A79" i="6"/>
  <c r="H78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D73" i="6" s="1"/>
  <c r="C70" i="6"/>
  <c r="B70" i="6" s="1"/>
  <c r="B66" i="6"/>
  <c r="B55" i="6"/>
  <c r="B51" i="6"/>
  <c r="B43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9" i="6"/>
  <c r="B31" i="6"/>
  <c r="B27" i="6"/>
  <c r="G13" i="6"/>
  <c r="B15" i="6" s="1"/>
  <c r="C15" i="6" s="1"/>
  <c r="B8" i="6"/>
  <c r="B11" i="6" s="1"/>
  <c r="C14" i="6" s="1"/>
  <c r="F62" i="5"/>
  <c r="E61" i="5"/>
  <c r="C61" i="5"/>
  <c r="I57" i="5"/>
  <c r="F56" i="5"/>
  <c r="E55" i="5"/>
  <c r="D55" i="5"/>
  <c r="D61" i="5" s="1"/>
  <c r="C55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H29" i="5"/>
  <c r="I29" i="5" s="1"/>
  <c r="J29" i="5" s="1"/>
  <c r="K29" i="5" s="1"/>
  <c r="L29" i="5" s="1"/>
  <c r="B29" i="5"/>
  <c r="C29" i="5" s="1"/>
  <c r="D29" i="5" s="1"/>
  <c r="E29" i="5" s="1"/>
  <c r="F29" i="5" s="1"/>
  <c r="G29" i="5" s="1"/>
  <c r="B16" i="5"/>
  <c r="C16" i="5" s="1"/>
  <c r="H7" i="5"/>
  <c r="H8" i="5" s="1"/>
  <c r="L5" i="5"/>
  <c r="I58" i="5" s="1"/>
  <c r="K5" i="5"/>
  <c r="J5" i="5"/>
  <c r="I5" i="5"/>
  <c r="F57" i="5" s="1"/>
  <c r="F63" i="5" s="1"/>
  <c r="H5" i="5"/>
  <c r="E58" i="5" s="1"/>
  <c r="E64" i="5" s="1"/>
  <c r="G5" i="5"/>
  <c r="D56" i="5" s="1"/>
  <c r="D62" i="5" s="1"/>
  <c r="F5" i="5"/>
  <c r="C57" i="5" s="1"/>
  <c r="C63" i="5" s="1"/>
  <c r="E5" i="5"/>
  <c r="B56" i="5" s="1"/>
  <c r="B62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G4" i="5"/>
  <c r="F4" i="5"/>
  <c r="E4" i="5"/>
  <c r="B55" i="5" s="1"/>
  <c r="B61" i="5" s="1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C39" i="3" s="1"/>
  <c r="C33" i="3"/>
  <c r="E24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I20" i="3"/>
  <c r="E20" i="3"/>
  <c r="C17" i="3"/>
  <c r="AF10" i="3"/>
  <c r="AF7" i="3"/>
  <c r="B116" i="2"/>
  <c r="I20" i="4"/>
  <c r="I18" i="4"/>
  <c r="I16" i="4"/>
  <c r="D75" i="4"/>
  <c r="C75" i="4"/>
  <c r="G74" i="4"/>
  <c r="C74" i="4"/>
  <c r="I17" i="4"/>
  <c r="C76" i="4"/>
  <c r="I75" i="4"/>
  <c r="I70" i="4"/>
  <c r="H70" i="4"/>
  <c r="I6" i="4"/>
  <c r="G70" i="4"/>
  <c r="I5" i="4"/>
  <c r="I71" i="4"/>
  <c r="A76" i="4"/>
  <c r="H71" i="4"/>
  <c r="E71" i="4"/>
  <c r="D71" i="4"/>
  <c r="F70" i="4"/>
  <c r="B74" i="4"/>
  <c r="D86" i="4"/>
  <c r="I7" i="4"/>
  <c r="B4" i="4"/>
  <c r="I21" i="4"/>
  <c r="I19" i="4"/>
  <c r="E69" i="4"/>
  <c r="I8" i="4"/>
  <c r="A35" i="4"/>
  <c r="I56" i="5" l="1"/>
  <c r="B73" i="6"/>
  <c r="E77" i="6"/>
  <c r="D57" i="5"/>
  <c r="D63" i="5" s="1"/>
  <c r="C73" i="6"/>
  <c r="B77" i="6"/>
  <c r="B14" i="6"/>
  <c r="C58" i="5"/>
  <c r="C64" i="5" s="1"/>
  <c r="E73" i="6"/>
  <c r="E72" i="6"/>
  <c r="G73" i="6"/>
  <c r="D77" i="6"/>
  <c r="H39" i="3"/>
  <c r="C77" i="6"/>
  <c r="D58" i="5"/>
  <c r="D64" i="5" s="1"/>
  <c r="F58" i="5"/>
  <c r="F64" i="5" s="1"/>
  <c r="C56" i="5"/>
  <c r="C62" i="5" s="1"/>
  <c r="B8" i="4"/>
  <c r="B19" i="4"/>
  <c r="B21" i="4"/>
  <c r="C4" i="3"/>
  <c r="C7" i="4"/>
  <c r="E5" i="3" s="1"/>
  <c r="B7" i="4"/>
  <c r="E43" i="3"/>
  <c r="B5" i="4"/>
  <c r="C5" i="3" s="1"/>
  <c r="C27" i="3" s="1"/>
  <c r="B6" i="4"/>
  <c r="C6" i="3" s="1"/>
  <c r="B17" i="4"/>
  <c r="B16" i="4"/>
  <c r="B18" i="4"/>
  <c r="B20" i="4"/>
  <c r="C114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G56" i="5"/>
  <c r="G57" i="5"/>
  <c r="H56" i="5"/>
  <c r="H57" i="5"/>
  <c r="H58" i="5"/>
  <c r="B16" i="6"/>
  <c r="C16" i="6" s="1"/>
  <c r="B57" i="5"/>
  <c r="B63" i="5" s="1"/>
  <c r="B58" i="5"/>
  <c r="B64" i="5" s="1"/>
  <c r="B90" i="6"/>
  <c r="B41" i="6"/>
  <c r="G58" i="5"/>
  <c r="J54" i="5"/>
  <c r="K54" i="5" s="1"/>
  <c r="L54" i="5" s="1"/>
  <c r="M54" i="5" s="1"/>
  <c r="N54" i="5" s="1"/>
  <c r="O54" i="5" s="1"/>
  <c r="P54" i="5" s="1"/>
  <c r="Q54" i="5" s="1"/>
  <c r="R54" i="5" s="1"/>
  <c r="S54" i="5" s="1"/>
  <c r="B43" i="5"/>
  <c r="B30" i="5"/>
  <c r="G33" i="3"/>
  <c r="K21" i="3"/>
  <c r="C88" i="6"/>
  <c r="B17" i="5"/>
  <c r="C39" i="6"/>
  <c r="C103" i="6"/>
  <c r="C104" i="6" s="1"/>
  <c r="D101" i="6"/>
  <c r="E56" i="5"/>
  <c r="E62" i="5" s="1"/>
  <c r="E57" i="5"/>
  <c r="E63" i="5" s="1"/>
  <c r="C27" i="6"/>
  <c r="B28" i="6"/>
  <c r="D16" i="5"/>
  <c r="J55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C51" i="6"/>
  <c r="H39" i="4"/>
  <c r="F57" i="4"/>
  <c r="B61" i="4"/>
  <c r="E62" i="4"/>
  <c r="C55" i="4"/>
  <c r="I37" i="4"/>
  <c r="F60" i="4"/>
  <c r="H61" i="4"/>
  <c r="G58" i="4"/>
  <c r="D39" i="4"/>
  <c r="A75" i="4"/>
  <c r="D74" i="4"/>
  <c r="D68" i="4"/>
  <c r="D84" i="4"/>
  <c r="I55" i="4"/>
  <c r="H51" i="4"/>
  <c r="D54" i="4"/>
  <c r="C73" i="4"/>
  <c r="H75" i="4"/>
  <c r="B69" i="4"/>
  <c r="A69" i="4"/>
  <c r="I74" i="4"/>
  <c r="I59" i="4"/>
  <c r="F52" i="4"/>
  <c r="B53" i="4"/>
  <c r="D62" i="4"/>
  <c r="B60" i="4"/>
  <c r="H35" i="4"/>
  <c r="G35" i="4"/>
  <c r="F72" i="4"/>
  <c r="A13" i="4"/>
  <c r="B58" i="4"/>
  <c r="B39" i="4"/>
  <c r="C50" i="4"/>
  <c r="B50" i="4"/>
  <c r="H59" i="4"/>
  <c r="F51" i="4"/>
  <c r="G55" i="4"/>
  <c r="A52" i="4"/>
  <c r="E57" i="4"/>
  <c r="B76" i="4"/>
  <c r="A70" i="4"/>
  <c r="F69" i="4"/>
  <c r="A12" i="4"/>
  <c r="C72" i="4"/>
  <c r="G73" i="4"/>
  <c r="C61" i="4"/>
  <c r="G51" i="4"/>
  <c r="A33" i="4"/>
  <c r="B59" i="4"/>
  <c r="A37" i="4"/>
  <c r="I76" i="4"/>
  <c r="F68" i="4"/>
  <c r="A74" i="4"/>
  <c r="F54" i="4"/>
  <c r="I73" i="4"/>
  <c r="C58" i="4"/>
  <c r="C52" i="4"/>
  <c r="G53" i="4"/>
  <c r="A31" i="4"/>
  <c r="E59" i="4"/>
  <c r="H62" i="4"/>
  <c r="E68" i="4"/>
  <c r="H54" i="4"/>
  <c r="E54" i="4"/>
  <c r="A53" i="4"/>
  <c r="A28" i="4"/>
  <c r="A68" i="4"/>
  <c r="G57" i="4"/>
  <c r="A36" i="4"/>
  <c r="A59" i="4"/>
  <c r="D60" i="4"/>
  <c r="B52" i="4"/>
  <c r="C62" i="4"/>
  <c r="E61" i="4"/>
  <c r="D53" i="4"/>
  <c r="D72" i="4"/>
  <c r="I33" i="4"/>
  <c r="C56" i="4"/>
  <c r="E50" i="4"/>
  <c r="A54" i="4"/>
  <c r="I61" i="4"/>
  <c r="I66" i="4"/>
  <c r="E75" i="4"/>
  <c r="C69" i="4"/>
  <c r="G61" i="4"/>
  <c r="I72" i="4"/>
  <c r="G56" i="4"/>
  <c r="B73" i="4"/>
  <c r="F74" i="4"/>
  <c r="G52" i="4"/>
  <c r="A72" i="4"/>
  <c r="G60" i="4"/>
  <c r="H37" i="4"/>
  <c r="D59" i="4"/>
  <c r="E76" i="4"/>
  <c r="I34" i="4"/>
  <c r="A32" i="4"/>
  <c r="B54" i="4"/>
  <c r="I56" i="4"/>
  <c r="H57" i="4"/>
  <c r="I39" i="4"/>
  <c r="G59" i="4"/>
  <c r="G34" i="4"/>
  <c r="C57" i="4"/>
  <c r="A41" i="4"/>
  <c r="D61" i="4"/>
  <c r="F71" i="4"/>
  <c r="C70" i="4"/>
  <c r="A73" i="4"/>
  <c r="F61" i="4"/>
  <c r="D52" i="4"/>
  <c r="I54" i="4"/>
  <c r="E55" i="4"/>
  <c r="H56" i="4"/>
  <c r="H33" i="4"/>
  <c r="E52" i="4"/>
  <c r="F58" i="4"/>
  <c r="I69" i="4"/>
  <c r="E70" i="4"/>
  <c r="F73" i="4"/>
  <c r="F62" i="4"/>
  <c r="A51" i="4"/>
  <c r="A71" i="4"/>
  <c r="F75" i="4"/>
  <c r="C51" i="4"/>
  <c r="D69" i="4"/>
  <c r="G39" i="4"/>
  <c r="A57" i="4"/>
  <c r="D55" i="4"/>
  <c r="A44" i="4"/>
  <c r="H76" i="4"/>
  <c r="G69" i="4"/>
  <c r="A55" i="4"/>
  <c r="A62" i="4"/>
  <c r="G32" i="4"/>
  <c r="B75" i="4"/>
  <c r="G72" i="4"/>
  <c r="E56" i="4"/>
  <c r="C53" i="4"/>
  <c r="E51" i="4"/>
  <c r="H58" i="4"/>
  <c r="E72" i="4"/>
  <c r="G62" i="4"/>
  <c r="F56" i="4"/>
  <c r="F39" i="4"/>
  <c r="G71" i="4"/>
  <c r="D76" i="4"/>
  <c r="G38" i="4"/>
  <c r="A42" i="4"/>
  <c r="H73" i="4"/>
  <c r="I32" i="4"/>
  <c r="A58" i="4"/>
  <c r="B51" i="4"/>
  <c r="E53" i="4"/>
  <c r="G76" i="4"/>
  <c r="D56" i="4"/>
  <c r="H34" i="4"/>
  <c r="A38" i="4"/>
  <c r="G37" i="4"/>
  <c r="B57" i="4"/>
  <c r="I38" i="4"/>
  <c r="C59" i="4"/>
  <c r="C60" i="4"/>
  <c r="C39" i="4"/>
  <c r="I51" i="4"/>
  <c r="E74" i="4"/>
  <c r="H74" i="4"/>
  <c r="G75" i="4"/>
  <c r="A11" i="4"/>
  <c r="G54" i="4"/>
  <c r="A29" i="4"/>
  <c r="H32" i="4"/>
  <c r="G29" i="4"/>
  <c r="C54" i="4"/>
  <c r="I29" i="4"/>
  <c r="B55" i="4"/>
  <c r="H55" i="4"/>
  <c r="D57" i="4"/>
  <c r="A56" i="4"/>
  <c r="H72" i="4"/>
  <c r="B70" i="4"/>
  <c r="C68" i="4"/>
  <c r="I52" i="4"/>
  <c r="I60" i="4"/>
  <c r="B62" i="4"/>
  <c r="H52" i="4"/>
  <c r="H69" i="4"/>
  <c r="B72" i="4"/>
  <c r="E60" i="4"/>
  <c r="D58" i="4"/>
  <c r="A39" i="4"/>
  <c r="F59" i="4"/>
  <c r="I58" i="4"/>
  <c r="G33" i="4"/>
  <c r="A60" i="4"/>
  <c r="I57" i="4"/>
  <c r="A30" i="4"/>
  <c r="B56" i="4"/>
  <c r="F76" i="4"/>
  <c r="I35" i="4"/>
  <c r="F55" i="4"/>
  <c r="I53" i="4"/>
  <c r="A43" i="4"/>
  <c r="C71" i="4"/>
  <c r="C84" i="4"/>
  <c r="E73" i="4"/>
  <c r="A40" i="4"/>
  <c r="I62" i="4"/>
  <c r="D73" i="4"/>
  <c r="D50" i="4"/>
  <c r="F50" i="4"/>
  <c r="A34" i="4"/>
  <c r="H38" i="4"/>
  <c r="F53" i="4"/>
  <c r="D70" i="4"/>
  <c r="A61" i="4"/>
  <c r="H60" i="4"/>
  <c r="H53" i="4"/>
  <c r="E58" i="4"/>
  <c r="E39" i="4"/>
  <c r="B68" i="4"/>
  <c r="D51" i="4"/>
  <c r="H29" i="4"/>
  <c r="A27" i="4"/>
  <c r="I24" i="4"/>
  <c r="B71" i="4"/>
  <c r="G61" i="5" l="1"/>
  <c r="B53" i="6"/>
  <c r="F36" i="3"/>
  <c r="H21" i="3"/>
  <c r="K50" i="4"/>
  <c r="J21" i="3" s="1"/>
  <c r="M4" i="5"/>
  <c r="D41" i="3"/>
  <c r="B36" i="3"/>
  <c r="B9" i="3"/>
  <c r="D36" i="3"/>
  <c r="K51" i="4"/>
  <c r="B38" i="3"/>
  <c r="G36" i="3"/>
  <c r="K75" i="4"/>
  <c r="H36" i="3"/>
  <c r="B37" i="3"/>
  <c r="K68" i="4"/>
  <c r="K72" i="4"/>
  <c r="B10" i="3"/>
  <c r="C36" i="3"/>
  <c r="B11" i="3"/>
  <c r="K60" i="4"/>
  <c r="K69" i="4"/>
  <c r="E41" i="3"/>
  <c r="E36" i="3"/>
  <c r="K55" i="4"/>
  <c r="D51" i="6"/>
  <c r="C53" i="6"/>
  <c r="C54" i="6" s="1"/>
  <c r="H35" i="3"/>
  <c r="K55" i="5"/>
  <c r="H61" i="5" s="1"/>
  <c r="E16" i="5"/>
  <c r="C90" i="6"/>
  <c r="D88" i="6"/>
  <c r="B92" i="6"/>
  <c r="F78" i="6"/>
  <c r="H79" i="6" s="1"/>
  <c r="D39" i="6"/>
  <c r="C41" i="6"/>
  <c r="C42" i="6" s="1"/>
  <c r="C17" i="5"/>
  <c r="E4" i="3"/>
  <c r="B4" i="5"/>
  <c r="C43" i="5"/>
  <c r="B116" i="6"/>
  <c r="D27" i="6"/>
  <c r="C29" i="6"/>
  <c r="C30" i="6" s="1"/>
  <c r="C106" i="6"/>
  <c r="C105" i="6"/>
  <c r="B103" i="6"/>
  <c r="C30" i="5"/>
  <c r="D114" i="6"/>
  <c r="C116" i="6"/>
  <c r="C117" i="6" s="1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D103" i="6"/>
  <c r="E101" i="6"/>
  <c r="B5" i="5"/>
  <c r="E6" i="3"/>
  <c r="K76" i="4" l="1"/>
  <c r="E39" i="6"/>
  <c r="D41" i="6"/>
  <c r="C91" i="6"/>
  <c r="C93" i="6" s="1"/>
  <c r="D104" i="6"/>
  <c r="D106" i="6" s="1"/>
  <c r="L21" i="3"/>
  <c r="M21" i="3" s="1"/>
  <c r="N21" i="3"/>
  <c r="C32" i="6"/>
  <c r="C31" i="6"/>
  <c r="E27" i="6"/>
  <c r="D29" i="6"/>
  <c r="E103" i="6"/>
  <c r="F101" i="6"/>
  <c r="D43" i="5"/>
  <c r="C56" i="6"/>
  <c r="C55" i="6"/>
  <c r="D17" i="5"/>
  <c r="D53" i="6"/>
  <c r="E51" i="6"/>
  <c r="K61" i="4"/>
  <c r="C119" i="6"/>
  <c r="C118" i="6"/>
  <c r="E114" i="6"/>
  <c r="D116" i="6"/>
  <c r="C44" i="6"/>
  <c r="C43" i="6"/>
  <c r="D30" i="5"/>
  <c r="D90" i="6"/>
  <c r="E88" i="6"/>
  <c r="L55" i="5"/>
  <c r="I61" i="5" s="1"/>
  <c r="F16" i="5"/>
  <c r="M5" i="5" l="1"/>
  <c r="M3" i="5"/>
  <c r="K78" i="4"/>
  <c r="G16" i="5"/>
  <c r="M55" i="5"/>
  <c r="J61" i="5" s="1"/>
  <c r="E53" i="6"/>
  <c r="F51" i="6"/>
  <c r="D105" i="6"/>
  <c r="G101" i="6"/>
  <c r="F103" i="6"/>
  <c r="D42" i="6"/>
  <c r="D44" i="6" s="1"/>
  <c r="D43" i="6"/>
  <c r="D30" i="6"/>
  <c r="D32" i="6" s="1"/>
  <c r="D31" i="6"/>
  <c r="E90" i="6"/>
  <c r="F88" i="6"/>
  <c r="E29" i="6"/>
  <c r="F27" i="6"/>
  <c r="F114" i="6"/>
  <c r="E116" i="6"/>
  <c r="D117" i="6"/>
  <c r="D119" i="6" s="1"/>
  <c r="D118" i="6"/>
  <c r="E17" i="5"/>
  <c r="D54" i="6"/>
  <c r="D56" i="6" s="1"/>
  <c r="C92" i="6"/>
  <c r="E43" i="5"/>
  <c r="E30" i="5"/>
  <c r="E41" i="6"/>
  <c r="F39" i="6"/>
  <c r="E42" i="6" l="1"/>
  <c r="E44" i="6" s="1"/>
  <c r="D55" i="6"/>
  <c r="F17" i="5"/>
  <c r="H101" i="6"/>
  <c r="G103" i="6"/>
  <c r="E104" i="6"/>
  <c r="E106" i="6" s="1"/>
  <c r="E117" i="6"/>
  <c r="E119" i="6" s="1"/>
  <c r="E118" i="6"/>
  <c r="F53" i="6"/>
  <c r="G51" i="6"/>
  <c r="F41" i="6"/>
  <c r="G39" i="6"/>
  <c r="F116" i="6"/>
  <c r="G114" i="6"/>
  <c r="F30" i="5"/>
  <c r="F29" i="6"/>
  <c r="G27" i="6"/>
  <c r="F43" i="5"/>
  <c r="H16" i="5"/>
  <c r="N55" i="5"/>
  <c r="K61" i="5" s="1"/>
  <c r="F90" i="6"/>
  <c r="G88" i="6"/>
  <c r="M2" i="5"/>
  <c r="H22" i="3"/>
  <c r="D91" i="6"/>
  <c r="D93" i="6" s="1"/>
  <c r="E30" i="6"/>
  <c r="E32" i="6" s="1"/>
  <c r="E105" i="6" l="1"/>
  <c r="G53" i="6"/>
  <c r="H51" i="6"/>
  <c r="F104" i="6"/>
  <c r="F106" i="6" s="1"/>
  <c r="F105" i="6"/>
  <c r="O55" i="5"/>
  <c r="L61" i="5" s="1"/>
  <c r="I16" i="5"/>
  <c r="G43" i="5"/>
  <c r="I101" i="6"/>
  <c r="H103" i="6"/>
  <c r="G29" i="6"/>
  <c r="H27" i="6"/>
  <c r="F117" i="6"/>
  <c r="F119" i="6" s="1"/>
  <c r="F118" i="6"/>
  <c r="H88" i="6"/>
  <c r="G90" i="6"/>
  <c r="E31" i="6"/>
  <c r="G17" i="5"/>
  <c r="G30" i="5"/>
  <c r="E54" i="6"/>
  <c r="E56" i="6" s="1"/>
  <c r="D92" i="6"/>
  <c r="G116" i="6"/>
  <c r="H114" i="6"/>
  <c r="E43" i="6"/>
  <c r="J22" i="3"/>
  <c r="I22" i="3"/>
  <c r="F24" i="3"/>
  <c r="AF8" i="3" s="1"/>
  <c r="D20" i="3" s="1"/>
  <c r="B7" i="5" s="1"/>
  <c r="AF9" i="3"/>
  <c r="I21" i="3"/>
  <c r="G41" i="6"/>
  <c r="H39" i="6"/>
  <c r="G24" i="3" l="1"/>
  <c r="AF6" i="3" s="1"/>
  <c r="E91" i="6"/>
  <c r="E93" i="6" s="1"/>
  <c r="J101" i="6"/>
  <c r="I103" i="6"/>
  <c r="E55" i="6"/>
  <c r="H43" i="5"/>
  <c r="H41" i="6"/>
  <c r="I39" i="6"/>
  <c r="H30" i="5"/>
  <c r="P55" i="5"/>
  <c r="M61" i="5" s="1"/>
  <c r="J16" i="5"/>
  <c r="H17" i="5"/>
  <c r="F30" i="6"/>
  <c r="F32" i="6" s="1"/>
  <c r="F31" i="6"/>
  <c r="B44" i="5"/>
  <c r="F8" i="5"/>
  <c r="B31" i="5"/>
  <c r="B18" i="5"/>
  <c r="G104" i="6"/>
  <c r="G106" i="6" s="1"/>
  <c r="H90" i="6"/>
  <c r="I88" i="6"/>
  <c r="F42" i="6"/>
  <c r="F44" i="6" s="1"/>
  <c r="G117" i="6"/>
  <c r="G119" i="6" s="1"/>
  <c r="H53" i="6"/>
  <c r="I51" i="6"/>
  <c r="H116" i="6"/>
  <c r="I114" i="6"/>
  <c r="H29" i="6"/>
  <c r="I27" i="6"/>
  <c r="Q55" i="5" l="1"/>
  <c r="N61" i="5" s="1"/>
  <c r="K16" i="5"/>
  <c r="I90" i="6"/>
  <c r="J88" i="6"/>
  <c r="B34" i="5"/>
  <c r="B21" i="5"/>
  <c r="B47" i="5"/>
  <c r="I43" i="5"/>
  <c r="I30" i="5"/>
  <c r="G105" i="6"/>
  <c r="J27" i="6"/>
  <c r="I29" i="6"/>
  <c r="K101" i="6"/>
  <c r="J103" i="6"/>
  <c r="F43" i="6"/>
  <c r="I41" i="6"/>
  <c r="J39" i="6"/>
  <c r="C18" i="5"/>
  <c r="B19" i="5"/>
  <c r="C31" i="5"/>
  <c r="B32" i="5"/>
  <c r="C44" i="5"/>
  <c r="B45" i="5"/>
  <c r="F55" i="6"/>
  <c r="F54" i="6"/>
  <c r="F56" i="6" s="1"/>
  <c r="J114" i="6"/>
  <c r="I116" i="6"/>
  <c r="G30" i="6"/>
  <c r="G32" i="6" s="1"/>
  <c r="G31" i="6"/>
  <c r="J51" i="6"/>
  <c r="I53" i="6"/>
  <c r="I17" i="5"/>
  <c r="G118" i="6"/>
  <c r="E92" i="6"/>
  <c r="D44" i="5" l="1"/>
  <c r="C45" i="5"/>
  <c r="J43" i="5"/>
  <c r="C46" i="5"/>
  <c r="C47" i="5" s="1"/>
  <c r="K51" i="6"/>
  <c r="J53" i="6"/>
  <c r="J30" i="5"/>
  <c r="D31" i="5"/>
  <c r="C32" i="5"/>
  <c r="C33" i="5" s="1"/>
  <c r="D18" i="5"/>
  <c r="C19" i="5"/>
  <c r="C20" i="5" s="1"/>
  <c r="C21" i="5" s="1"/>
  <c r="J17" i="5"/>
  <c r="J90" i="6"/>
  <c r="K88" i="6"/>
  <c r="K103" i="6"/>
  <c r="L101" i="6"/>
  <c r="L103" i="6" s="1"/>
  <c r="R55" i="5"/>
  <c r="O61" i="5" s="1"/>
  <c r="L16" i="5"/>
  <c r="J116" i="6"/>
  <c r="K114" i="6"/>
  <c r="K27" i="6"/>
  <c r="J29" i="6"/>
  <c r="F91" i="6"/>
  <c r="F93" i="6" s="1"/>
  <c r="H117" i="6"/>
  <c r="H119" i="6" s="1"/>
  <c r="H118" i="6"/>
  <c r="J41" i="6"/>
  <c r="K39" i="6"/>
  <c r="G42" i="6"/>
  <c r="G44" i="6" s="1"/>
  <c r="H30" i="6"/>
  <c r="H32" i="6" s="1"/>
  <c r="G54" i="6"/>
  <c r="G56" i="6" s="1"/>
  <c r="H104" i="6"/>
  <c r="H106" i="6" s="1"/>
  <c r="H105" i="6"/>
  <c r="G55" i="6" l="1"/>
  <c r="C35" i="5"/>
  <c r="J57" i="5"/>
  <c r="G63" i="5" s="1"/>
  <c r="C34" i="5"/>
  <c r="H54" i="6"/>
  <c r="H56" i="6" s="1"/>
  <c r="S55" i="5"/>
  <c r="P61" i="5" s="1"/>
  <c r="G43" i="6"/>
  <c r="L51" i="6"/>
  <c r="L53" i="6" s="1"/>
  <c r="K53" i="6"/>
  <c r="C22" i="5"/>
  <c r="J56" i="5"/>
  <c r="G62" i="5" s="1"/>
  <c r="K41" i="6"/>
  <c r="L39" i="6"/>
  <c r="L41" i="6" s="1"/>
  <c r="L114" i="6"/>
  <c r="L116" i="6" s="1"/>
  <c r="K116" i="6"/>
  <c r="K30" i="5"/>
  <c r="C48" i="5"/>
  <c r="J58" i="5"/>
  <c r="G64" i="5" s="1"/>
  <c r="L27" i="6"/>
  <c r="L29" i="6" s="1"/>
  <c r="K29" i="6"/>
  <c r="E31" i="5"/>
  <c r="D32" i="5"/>
  <c r="H31" i="6"/>
  <c r="K90" i="6"/>
  <c r="L88" i="6"/>
  <c r="L90" i="6" s="1"/>
  <c r="I117" i="6"/>
  <c r="I119" i="6" s="1"/>
  <c r="K17" i="5"/>
  <c r="K43" i="5"/>
  <c r="I104" i="6"/>
  <c r="I106" i="6" s="1"/>
  <c r="I105" i="6"/>
  <c r="F92" i="6"/>
  <c r="E18" i="5"/>
  <c r="D19" i="5"/>
  <c r="D20" i="5" s="1"/>
  <c r="D21" i="5" s="1"/>
  <c r="E44" i="5"/>
  <c r="D45" i="5"/>
  <c r="D46" i="5" s="1"/>
  <c r="D48" i="5" l="1"/>
  <c r="K58" i="5"/>
  <c r="H64" i="5" s="1"/>
  <c r="D47" i="5"/>
  <c r="I30" i="6"/>
  <c r="I32" i="6" s="1"/>
  <c r="D22" i="5"/>
  <c r="K56" i="5"/>
  <c r="H62" i="5" s="1"/>
  <c r="F31" i="5"/>
  <c r="E32" i="5"/>
  <c r="H42" i="6"/>
  <c r="H44" i="6" s="1"/>
  <c r="G91" i="6"/>
  <c r="G93" i="6" s="1"/>
  <c r="J104" i="6"/>
  <c r="J106" i="6" s="1"/>
  <c r="L43" i="5"/>
  <c r="L30" i="5"/>
  <c r="H55" i="6"/>
  <c r="F44" i="5"/>
  <c r="E45" i="5"/>
  <c r="L17" i="5"/>
  <c r="I118" i="6"/>
  <c r="F18" i="5"/>
  <c r="E19" i="5"/>
  <c r="E20" i="5" s="1"/>
  <c r="D33" i="5"/>
  <c r="D34" i="5"/>
  <c r="L56" i="5" l="1"/>
  <c r="I62" i="5" s="1"/>
  <c r="E22" i="5"/>
  <c r="E21" i="5"/>
  <c r="E33" i="5"/>
  <c r="G18" i="5"/>
  <c r="F19" i="5"/>
  <c r="G92" i="6"/>
  <c r="J117" i="6"/>
  <c r="J119" i="6" s="1"/>
  <c r="G31" i="5"/>
  <c r="F32" i="5"/>
  <c r="D35" i="5"/>
  <c r="K57" i="5"/>
  <c r="H63" i="5" s="1"/>
  <c r="J105" i="6"/>
  <c r="H43" i="6"/>
  <c r="G44" i="5"/>
  <c r="F45" i="5"/>
  <c r="I54" i="6"/>
  <c r="I56" i="6" s="1"/>
  <c r="I31" i="6"/>
  <c r="E46" i="5"/>
  <c r="H31" i="5" l="1"/>
  <c r="G32" i="5"/>
  <c r="L58" i="5"/>
  <c r="I64" i="5" s="1"/>
  <c r="E48" i="5"/>
  <c r="J118" i="6"/>
  <c r="E47" i="5"/>
  <c r="H91" i="6"/>
  <c r="H93" i="6" s="1"/>
  <c r="J30" i="6"/>
  <c r="J32" i="6" s="1"/>
  <c r="I55" i="6"/>
  <c r="H18" i="5"/>
  <c r="G19" i="5"/>
  <c r="L57" i="5"/>
  <c r="I63" i="5" s="1"/>
  <c r="E35" i="5"/>
  <c r="E34" i="5"/>
  <c r="H44" i="5"/>
  <c r="G45" i="5"/>
  <c r="F20" i="5"/>
  <c r="F21" i="5" s="1"/>
  <c r="I42" i="6"/>
  <c r="I44" i="6" s="1"/>
  <c r="K104" i="6"/>
  <c r="K106" i="6" s="1"/>
  <c r="K105" i="6"/>
  <c r="I43" i="6" l="1"/>
  <c r="G20" i="5"/>
  <c r="F46" i="5"/>
  <c r="K117" i="6"/>
  <c r="K119" i="6" s="1"/>
  <c r="I18" i="5"/>
  <c r="H19" i="5"/>
  <c r="J54" i="6"/>
  <c r="J56" i="6" s="1"/>
  <c r="J55" i="6"/>
  <c r="L104" i="6"/>
  <c r="L106" i="6" s="1"/>
  <c r="B107" i="6" s="1"/>
  <c r="B109" i="6" s="1"/>
  <c r="L105" i="6"/>
  <c r="J31" i="6"/>
  <c r="H92" i="6"/>
  <c r="J42" i="6"/>
  <c r="J44" i="6" s="1"/>
  <c r="J43" i="6"/>
  <c r="F22" i="5"/>
  <c r="M56" i="5"/>
  <c r="J62" i="5" s="1"/>
  <c r="I44" i="5"/>
  <c r="H45" i="5"/>
  <c r="F33" i="5"/>
  <c r="I31" i="5"/>
  <c r="H32" i="5"/>
  <c r="K118" i="6" l="1"/>
  <c r="M57" i="5"/>
  <c r="J63" i="5" s="1"/>
  <c r="F35" i="5"/>
  <c r="J44" i="5"/>
  <c r="I45" i="5"/>
  <c r="K42" i="6"/>
  <c r="K44" i="6" s="1"/>
  <c r="K43" i="6"/>
  <c r="I91" i="6"/>
  <c r="I93" i="6" s="1"/>
  <c r="K30" i="6"/>
  <c r="K32" i="6" s="1"/>
  <c r="K31" i="6"/>
  <c r="B110" i="6"/>
  <c r="C110" i="6" s="1"/>
  <c r="C83" i="6" s="1"/>
  <c r="C109" i="6"/>
  <c r="B83" i="6" s="1"/>
  <c r="K54" i="6"/>
  <c r="K56" i="6" s="1"/>
  <c r="K55" i="6"/>
  <c r="J31" i="5"/>
  <c r="I32" i="5"/>
  <c r="F34" i="5"/>
  <c r="J18" i="5"/>
  <c r="I19" i="5"/>
  <c r="L117" i="6"/>
  <c r="L119" i="6" s="1"/>
  <c r="B120" i="6" s="1"/>
  <c r="B122" i="6" s="1"/>
  <c r="M58" i="5"/>
  <c r="J64" i="5" s="1"/>
  <c r="F48" i="5"/>
  <c r="G22" i="5"/>
  <c r="N56" i="5"/>
  <c r="K62" i="5" s="1"/>
  <c r="F47" i="5"/>
  <c r="G21" i="5"/>
  <c r="B123" i="6" l="1"/>
  <c r="C123" i="6" s="1"/>
  <c r="C84" i="6" s="1"/>
  <c r="C122" i="6"/>
  <c r="B84" i="6" s="1"/>
  <c r="K31" i="5"/>
  <c r="J32" i="5"/>
  <c r="L54" i="6"/>
  <c r="L56" i="6" s="1"/>
  <c r="B57" i="6" s="1"/>
  <c r="B58" i="6" s="1"/>
  <c r="H20" i="5"/>
  <c r="H21" i="5"/>
  <c r="G46" i="5"/>
  <c r="L30" i="6"/>
  <c r="L32" i="6" s="1"/>
  <c r="B33" i="6" s="1"/>
  <c r="B34" i="6" s="1"/>
  <c r="I92" i="6"/>
  <c r="L42" i="6"/>
  <c r="L44" i="6" s="1"/>
  <c r="B45" i="6" s="1"/>
  <c r="B46" i="6" s="1"/>
  <c r="L43" i="6"/>
  <c r="L118" i="6"/>
  <c r="K44" i="5"/>
  <c r="J45" i="5"/>
  <c r="K18" i="5"/>
  <c r="J19" i="5"/>
  <c r="G33" i="5"/>
  <c r="G34" i="5"/>
  <c r="L31" i="6" l="1"/>
  <c r="L55" i="6"/>
  <c r="B22" i="6"/>
  <c r="B47" i="6"/>
  <c r="C22" i="6" s="1"/>
  <c r="J91" i="6"/>
  <c r="J93" i="6" s="1"/>
  <c r="J92" i="6"/>
  <c r="B35" i="6"/>
  <c r="C21" i="6" s="1"/>
  <c r="B21" i="6"/>
  <c r="N58" i="5"/>
  <c r="K64" i="5" s="1"/>
  <c r="G48" i="5"/>
  <c r="G47" i="5"/>
  <c r="I20" i="5"/>
  <c r="I21" i="5" s="1"/>
  <c r="O56" i="5"/>
  <c r="L62" i="5" s="1"/>
  <c r="H22" i="5"/>
  <c r="H33" i="5"/>
  <c r="H34" i="5" s="1"/>
  <c r="N57" i="5"/>
  <c r="K63" i="5" s="1"/>
  <c r="G35" i="5"/>
  <c r="B23" i="6"/>
  <c r="B59" i="6"/>
  <c r="C23" i="6" s="1"/>
  <c r="L18" i="5"/>
  <c r="L19" i="5" s="1"/>
  <c r="K19" i="5"/>
  <c r="L31" i="5"/>
  <c r="L32" i="5" s="1"/>
  <c r="K32" i="5"/>
  <c r="L44" i="5"/>
  <c r="L45" i="5" s="1"/>
  <c r="K45" i="5"/>
  <c r="K91" i="6" l="1"/>
  <c r="K93" i="6" s="1"/>
  <c r="I33" i="5"/>
  <c r="I34" i="5"/>
  <c r="H35" i="5"/>
  <c r="O57" i="5"/>
  <c r="L63" i="5" s="1"/>
  <c r="J20" i="5"/>
  <c r="J21" i="5"/>
  <c r="P56" i="5"/>
  <c r="M62" i="5" s="1"/>
  <c r="I22" i="5"/>
  <c r="H46" i="5"/>
  <c r="H47" i="5"/>
  <c r="I35" i="5" l="1"/>
  <c r="P57" i="5"/>
  <c r="M63" i="5" s="1"/>
  <c r="K92" i="6"/>
  <c r="I46" i="5"/>
  <c r="O58" i="5"/>
  <c r="L64" i="5" s="1"/>
  <c r="H48" i="5"/>
  <c r="K20" i="5"/>
  <c r="J22" i="5"/>
  <c r="Q56" i="5"/>
  <c r="N62" i="5" s="1"/>
  <c r="J33" i="5"/>
  <c r="J34" i="5" s="1"/>
  <c r="K33" i="5" l="1"/>
  <c r="Q57" i="5"/>
  <c r="N63" i="5" s="1"/>
  <c r="J35" i="5"/>
  <c r="P58" i="5"/>
  <c r="M64" i="5" s="1"/>
  <c r="I48" i="5"/>
  <c r="R56" i="5"/>
  <c r="O62" i="5" s="1"/>
  <c r="K22" i="5"/>
  <c r="K21" i="5"/>
  <c r="I47" i="5"/>
  <c r="L91" i="6"/>
  <c r="L93" i="6" s="1"/>
  <c r="B94" i="6" s="1"/>
  <c r="B96" i="6" s="1"/>
  <c r="L92" i="6"/>
  <c r="R57" i="5" l="1"/>
  <c r="O63" i="5" s="1"/>
  <c r="K35" i="5"/>
  <c r="B97" i="6"/>
  <c r="C97" i="6" s="1"/>
  <c r="C82" i="6" s="1"/>
  <c r="C96" i="6"/>
  <c r="B82" i="6" s="1"/>
  <c r="J46" i="5"/>
  <c r="L20" i="5"/>
  <c r="K34" i="5"/>
  <c r="L33" i="5" l="1"/>
  <c r="L34" i="5"/>
  <c r="S56" i="5"/>
  <c r="P62" i="5" s="1"/>
  <c r="L22" i="5"/>
  <c r="B23" i="5" s="1"/>
  <c r="B25" i="5" s="1"/>
  <c r="L21" i="5"/>
  <c r="Q58" i="5"/>
  <c r="N64" i="5" s="1"/>
  <c r="J48" i="5"/>
  <c r="J47" i="5"/>
  <c r="C25" i="5" l="1"/>
  <c r="B11" i="5" s="1"/>
  <c r="E11" i="5" s="1"/>
  <c r="G28" i="3" s="1"/>
  <c r="B26" i="5"/>
  <c r="C26" i="5" s="1"/>
  <c r="C11" i="5" s="1"/>
  <c r="F28" i="3" s="1"/>
  <c r="S57" i="5"/>
  <c r="P63" i="5" s="1"/>
  <c r="L35" i="5"/>
  <c r="B36" i="5" s="1"/>
  <c r="B38" i="5" s="1"/>
  <c r="K46" i="5"/>
  <c r="K48" i="5" l="1"/>
  <c r="R58" i="5"/>
  <c r="O64" i="5" s="1"/>
  <c r="K47" i="5"/>
  <c r="B39" i="5"/>
  <c r="C39" i="5" s="1"/>
  <c r="C12" i="5" s="1"/>
  <c r="F29" i="3" s="1"/>
  <c r="C38" i="5"/>
  <c r="B12" i="5" s="1"/>
  <c r="E12" i="5" s="1"/>
  <c r="G29" i="3" s="1"/>
  <c r="L46" i="5" l="1"/>
  <c r="S58" i="5" l="1"/>
  <c r="P64" i="5" s="1"/>
  <c r="L48" i="5"/>
  <c r="B49" i="5" s="1"/>
  <c r="B51" i="5" s="1"/>
  <c r="L47" i="5"/>
  <c r="C51" i="5" l="1"/>
  <c r="B13" i="5" s="1"/>
  <c r="E13" i="5" s="1"/>
  <c r="G30" i="3" s="1"/>
  <c r="B52" i="5"/>
  <c r="C52" i="5" s="1"/>
  <c r="C13" i="5" s="1"/>
  <c r="F30" i="3" s="1"/>
  <c r="F31" i="3" s="1"/>
  <c r="C28" i="3" l="1"/>
  <c r="D28" i="3" s="1"/>
  <c r="C29" i="3"/>
  <c r="G31" i="3"/>
  <c r="C30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<sst xmlns="http://schemas.openxmlformats.org/spreadsheetml/2006/main" count="1060" uniqueCount="435">
  <si>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</si>
  <si>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</si>
  <si>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</si>
  <si>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</si>
  <si>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</si>
  <si>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</si>
  <si>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</si>
  <si>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</si>
  <si>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</si>
  <si>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</si>
  <si>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</si>
  <si>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</si>
  <si>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</si>
  <si>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</si>
  <si>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</si>
  <si>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</si>
  <si>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</si>
  <si>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</si>
  <si>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</si>
  <si>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</si>
  <si>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</si>
  <si>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</si>
  <si>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</si>
  <si>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</si>
  <si>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</si>
  <si>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</si>
  <si>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</si>
  <si>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</si>
  <si>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</si>
  <si>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</si>
  <si>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</si>
  <si>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</si>
  <si>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</si>
  <si>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</si>
  <si>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</si>
  <si>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</si>
  <si>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</si>
  <si>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</si>
  <si>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</si>
  <si>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</si>
  <si>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</si>
  <si>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</si>
  <si>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</si>
  <si>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</si>
  <si>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</si>
  <si>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</si>
  <si>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</si>
  <si>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</si>
  <si>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</si>
  <si>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</si>
  <si>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</si>
  <si>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</si>
  <si>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</si>
  <si>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</si>
  <si>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</si>
  <si>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</si>
  <si>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</si>
  <si>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</si>
  <si>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</si>
  <si>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</si>
  <si>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</si>
  <si>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세방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</si>
  <si>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</si>
  <si>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</si>
  <si>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</si>
  <si>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</si>
  <si>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</si>
  <si>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</si>
  <si>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</si>
  <si>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</si>
  <si>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</si>
  <si>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</si>
  <si>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</si>
  <si>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</si>
  <si>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</si>
  <si>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</si>
  <si>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</si>
  <si>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</si>
  <si>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</si>
  <si>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</si>
  <si>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</si>
  <si>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</si>
  <si>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</si>
  <si>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</si>
  <si>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</si>
  <si>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</si>
  <si>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</si>
  <si>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</si>
  <si>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</si>
  <si>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</si>
  <si>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</si>
  <si>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</si>
  <si>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</si>
  <si>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</si>
  <si>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</si>
  <si>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</si>
  <si>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</si>
  <si>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</si>
  <si>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</si>
  <si>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</si>
  <si>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</si>
  <si>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</si>
  <si>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</si>
  <si>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</si>
  <si>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</si>
  <si>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</si>
  <si>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15,770/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</si>
  <si>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</si>
  <si>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</si>
  <si>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</si>
  <si>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</si>
  <si>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</si>
  <si>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</si>
  <si>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</si>
  <si>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</si>
  <si>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</si>
  <si>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</si>
  <si>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</si>
  <si>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</si>
  <si>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</si>
  <si>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</si>
  <si>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</si>
  <si>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</si>
  <si>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</si>
  <si>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19,115,603/ 3,689,250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</si>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</sst>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7D-4F67-9BF0-A88152A93D3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7D-4F67-9BF0-A88152A93D3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7D-4F67-9BF0-A88152A93D3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37D-4F67-9BF0-A88152A93D3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37D-4F67-9BF0-A88152A93D3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325</c:v>
                </c:pt>
                <c:pt idx="1">
                  <c:v>524</c:v>
                </c:pt>
                <c:pt idx="2">
                  <c:v>1054</c:v>
                </c:pt>
                <c:pt idx="3">
                  <c:v>698</c:v>
                </c:pt>
                <c:pt idx="4">
                  <c:v>855</c:v>
                </c:pt>
                <c:pt idx="5">
                  <c:v>958.6719333333333</c:v>
                </c:pt>
                <c:pt idx="6">
                  <c:v>1035.5414445211111</c:v>
                </c:pt>
                <c:pt idx="7">
                  <c:v>1118.5746093476289</c:v>
                </c:pt>
                <c:pt idx="8">
                  <c:v>1208.2656501071529</c:v>
                </c:pt>
                <c:pt idx="9">
                  <c:v>1305.1484174849113</c:v>
                </c:pt>
                <c:pt idx="10">
                  <c:v>1409.7995680935765</c:v>
                </c:pt>
                <c:pt idx="11">
                  <c:v>1522.8419967952132</c:v>
                </c:pt>
                <c:pt idx="12">
                  <c:v>1644.9485442382427</c:v>
                </c:pt>
                <c:pt idx="13">
                  <c:v>1776.8460016770791</c:v>
                </c:pt>
                <c:pt idx="14">
                  <c:v>1919.3194369115531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7D-4F67-9BF0-A88152A93D3F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37D-4F67-9BF0-A88152A93D3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37D-4F67-9BF0-A88152A93D3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37D-4F67-9BF0-A88152A93D3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37D-4F67-9BF0-A88152A93D3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37D-4F67-9BF0-A88152A93D3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37D-4F67-9BF0-A88152A93D3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325</c:v>
                </c:pt>
                <c:pt idx="1">
                  <c:v>524</c:v>
                </c:pt>
                <c:pt idx="2">
                  <c:v>1054</c:v>
                </c:pt>
                <c:pt idx="3">
                  <c:v>698</c:v>
                </c:pt>
                <c:pt idx="4">
                  <c:v>855</c:v>
                </c:pt>
                <c:pt idx="5">
                  <c:v>985.47329999999999</c:v>
                </c:pt>
                <c:pt idx="6">
                  <c:v>1092.8103591352499</c:v>
                </c:pt>
                <c:pt idx="7">
                  <c:v>1210.5727484406032</c:v>
                </c:pt>
                <c:pt idx="8">
                  <c:v>1339.90739843863</c:v>
                </c:pt>
                <c:pt idx="9">
                  <c:v>1482.0672747162666</c:v>
                </c:pt>
                <c:pt idx="10">
                  <c:v>1638.4242576459103</c:v>
                </c:pt>
                <c:pt idx="11">
                  <c:v>1810.4829540664011</c:v>
                </c:pt>
                <c:pt idx="12">
                  <c:v>1999.8956208627867</c:v>
                </c:pt>
                <c:pt idx="13">
                  <c:v>2208.4783789329795</c:v>
                </c:pt>
                <c:pt idx="14">
                  <c:v>2438.2288994881155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7D-4F67-9BF0-A88152A93D3F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37D-4F67-9BF0-A88152A93D3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37D-4F67-9BF0-A88152A93D3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37D-4F67-9BF0-A88152A93D3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37D-4F67-9BF0-A88152A93D3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37D-4F67-9BF0-A88152A93D3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37D-4F67-9BF0-A88152A93D3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325</c:v>
                </c:pt>
                <c:pt idx="1">
                  <c:v>524</c:v>
                </c:pt>
                <c:pt idx="2">
                  <c:v>1054</c:v>
                </c:pt>
                <c:pt idx="3">
                  <c:v>698</c:v>
                </c:pt>
                <c:pt idx="4">
                  <c:v>855</c:v>
                </c:pt>
                <c:pt idx="5">
                  <c:v>1012.2746666666667</c:v>
                </c:pt>
                <c:pt idx="6">
                  <c:v>1144.4934669155555</c:v>
                </c:pt>
                <c:pt idx="7">
                  <c:v>1285.9930663803682</c:v>
                </c:pt>
                <c:pt idx="8">
                  <c:v>1438.5235269462653</c:v>
                </c:pt>
                <c:pt idx="9">
                  <c:v>1603.8272502679042</c:v>
                </c:pt>
                <c:pt idx="10">
                  <c:v>1783.6908367882511</c:v>
                </c:pt>
                <c:pt idx="11">
                  <c:v>1979.9856300005147</c:v>
                </c:pt>
                <c:pt idx="12">
                  <c:v>2194.7014701034514</c:v>
                </c:pt>
                <c:pt idx="13">
                  <c:v>2429.9765765944603</c:v>
                </c:pt>
                <c:pt idx="14">
                  <c:v>2688.1255072995355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37D-4F67-9BF0-A88152A9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6.31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0.22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2.69E-2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0.54398000000000002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784733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</v>
      </c>
      <c r="C282">
        <v>6.31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4.09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7.81</v>
      </c>
      <c r="C290">
        <v>11.34</v>
      </c>
      <c r="D290">
        <v>7.47</v>
      </c>
    </row>
    <row r="291" spans="1:4" x14ac:dyDescent="0.4">
      <c r="A291" t="s">
        <v>85</v>
      </c>
      <c r="B291">
        <v>2.69</v>
      </c>
      <c r="C291">
        <v>2.8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2.86</v>
      </c>
      <c r="C443">
        <v>4.3499999999999996</v>
      </c>
      <c r="D443">
        <v>8.36</v>
      </c>
      <c r="E443">
        <v>5.33</v>
      </c>
      <c r="F443">
        <v>6.05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3254</v>
      </c>
      <c r="C482" s="194">
        <v>3266</v>
      </c>
      <c r="D482" s="194">
        <v>3155</v>
      </c>
      <c r="E482" s="194">
        <v>3155</v>
      </c>
      <c r="F482" s="194">
        <v>3155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107</v>
      </c>
      <c r="C483" s="194">
        <v>116</v>
      </c>
      <c r="D483" s="194">
        <v>73</v>
      </c>
      <c r="E483" s="194">
        <v>73</v>
      </c>
      <c r="F483" s="194">
        <v>73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107</v>
      </c>
      <c r="C484" s="194">
        <v>116</v>
      </c>
      <c r="D484" s="194">
        <v>73</v>
      </c>
      <c r="E484" s="194">
        <v>73</v>
      </c>
      <c r="F484" s="194">
        <v>73</v>
      </c>
      <c r="G484" s="194"/>
      <c r="H484" s="194"/>
      <c r="I484" s="194"/>
    </row>
    <row r="485" spans="1:9" x14ac:dyDescent="0.4">
      <c r="A485" t="s">
        <v>277</v>
      </c>
      <c r="B485" s="194">
        <v>280</v>
      </c>
      <c r="C485" s="194">
        <v>174</v>
      </c>
      <c r="D485" s="194">
        <v>116</v>
      </c>
      <c r="E485" s="194">
        <v>116</v>
      </c>
      <c r="F485" s="194">
        <v>116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280</v>
      </c>
      <c r="C486" s="194">
        <v>174</v>
      </c>
      <c r="D486" s="194">
        <v>116</v>
      </c>
      <c r="E486" s="194">
        <v>116</v>
      </c>
      <c r="F486" s="194">
        <v>116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14637</v>
      </c>
      <c r="C488" s="194">
        <v>14769</v>
      </c>
      <c r="D488" s="194">
        <v>14897</v>
      </c>
      <c r="E488" s="194">
        <v>14897</v>
      </c>
      <c r="F488" s="194">
        <v>14897</v>
      </c>
    </row>
    <row r="489" spans="1:9" x14ac:dyDescent="0.4">
      <c r="A489" t="s">
        <v>281</v>
      </c>
      <c r="B489" s="194">
        <v>3066</v>
      </c>
      <c r="C489" s="194">
        <v>2981</v>
      </c>
      <c r="D489" s="194">
        <v>2923</v>
      </c>
      <c r="E489" s="194">
        <v>2923</v>
      </c>
      <c r="F489" s="194">
        <v>2923</v>
      </c>
    </row>
    <row r="490" spans="1:9" x14ac:dyDescent="0.4">
      <c r="A490" t="s">
        <v>282</v>
      </c>
      <c r="B490" s="194">
        <v>11571</v>
      </c>
      <c r="C490" s="194">
        <v>11788</v>
      </c>
      <c r="D490" s="194">
        <v>11974</v>
      </c>
      <c r="E490" s="194">
        <v>11974</v>
      </c>
      <c r="F490" s="194">
        <v>11974</v>
      </c>
    </row>
    <row r="491" spans="1:9" x14ac:dyDescent="0.4">
      <c r="A491" t="s">
        <v>283</v>
      </c>
      <c r="B491" s="194">
        <v>11553</v>
      </c>
      <c r="C491" s="194">
        <v>11769</v>
      </c>
      <c r="D491" s="194">
        <v>11956</v>
      </c>
      <c r="E491" s="194">
        <v>11956</v>
      </c>
      <c r="F491" s="194">
        <v>11956</v>
      </c>
    </row>
    <row r="492" spans="1:9" x14ac:dyDescent="0.4">
      <c r="A492" t="s">
        <v>284</v>
      </c>
      <c r="B492" s="194">
        <v>18</v>
      </c>
      <c r="C492" s="194">
        <v>19</v>
      </c>
      <c r="D492" s="194">
        <v>18</v>
      </c>
      <c r="E492" s="194">
        <v>18</v>
      </c>
      <c r="F492" s="194">
        <v>18</v>
      </c>
    </row>
    <row r="493" spans="1:9" x14ac:dyDescent="0.4">
      <c r="A493" t="s">
        <v>285</v>
      </c>
      <c r="B493" s="194">
        <v>115</v>
      </c>
      <c r="C493" s="194">
        <v>115</v>
      </c>
      <c r="D493" s="196">
        <v>115</v>
      </c>
      <c r="E493" s="196">
        <v>115</v>
      </c>
      <c r="F493" s="196">
        <v>115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7.61</v>
      </c>
      <c r="C510">
        <v>4.74</v>
      </c>
      <c r="D510">
        <v>3.12</v>
      </c>
      <c r="E510">
        <v>3.12</v>
      </c>
      <c r="F510">
        <v>3.12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세방</v>
      </c>
      <c r="D4" s="82" t="s">
        <v>340</v>
      </c>
      <c r="E4" s="83">
        <f ca="1">Data!B7</f>
        <v>19115603</v>
      </c>
      <c r="F4" s="84"/>
      <c r="G4" s="84"/>
      <c r="H4" s="85"/>
    </row>
    <row r="5" spans="2:34" x14ac:dyDescent="0.4">
      <c r="B5" s="86" t="s">
        <v>341</v>
      </c>
      <c r="C5" s="87">
        <f ca="1">Data!B5</f>
        <v>15770</v>
      </c>
      <c r="D5" s="88" t="s">
        <v>342</v>
      </c>
      <c r="E5" s="89">
        <f ca="1">Data!C7</f>
        <v>3689250</v>
      </c>
      <c r="H5" s="90"/>
    </row>
    <row r="6" spans="2:34" x14ac:dyDescent="0.4">
      <c r="B6" s="86" t="s">
        <v>343</v>
      </c>
      <c r="C6" s="91">
        <f ca="1">Data!B6</f>
        <v>0.54398000000000002</v>
      </c>
      <c r="D6" s="88" t="s">
        <v>344</v>
      </c>
      <c r="E6" s="89">
        <f ca="1">Data!B8</f>
        <v>784733</v>
      </c>
      <c r="H6" s="90"/>
      <c r="AD6" s="32" t="s">
        <v>345</v>
      </c>
      <c r="AE6" s="32" t="s">
        <v>346</v>
      </c>
      <c r="AF6" s="3">
        <f ca="1">G24</f>
        <v>4.4408524394912587E-2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8.0183333333333329E-2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4.4408524394912587E-2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8.0183333333333329E-2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44166</v>
      </c>
      <c r="D21" s="109">
        <f>Data!C25</f>
        <v>44531</v>
      </c>
      <c r="E21" s="110">
        <f>Data!D25</f>
        <v>44896</v>
      </c>
      <c r="F21" s="111">
        <f>Data!E25</f>
        <v>45261</v>
      </c>
      <c r="G21" s="111">
        <f>Data!F25</f>
        <v>45627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3.8899999999999997E-2</v>
      </c>
      <c r="D22" s="120">
        <f>Data!C40</f>
        <v>6.0100000000000001E-2</v>
      </c>
      <c r="E22" s="121">
        <f>Data!D40</f>
        <v>0.11119999999999999</v>
      </c>
      <c r="F22" s="122">
        <f>Data!E40</f>
        <v>6.7799999999999999E-2</v>
      </c>
      <c r="G22" s="122">
        <f>Data!F40</f>
        <v>7.8100000000000003E-2</v>
      </c>
      <c r="H22" s="123">
        <f ca="1">Data!K78</f>
        <v>4.4408524394912587E-2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46022</v>
      </c>
      <c r="D23" s="111">
        <f>DATE(Data!H26,12,31)</f>
        <v>46387</v>
      </c>
      <c r="E23" s="125">
        <f>DATE(Data!I26,12,31)</f>
        <v>46752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8.0183333333333329E-2</v>
      </c>
      <c r="G24" s="122">
        <f ca="1">IF(E24="컨센 없음",IF(D24="컨센 없음",IF(C24="컨센 없음",IF(H22="분기자료부족",J22,IF(I21="상승추세",H22,IF(I22="하락추세",H22,F24))),C24),D24),E24)</f>
        <v>4.4408524394912587E-2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15770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49792.041384608892</v>
      </c>
      <c r="D28" s="143">
        <f ca="1">C27/C28-1</f>
        <v>-0.68328271825234643</v>
      </c>
      <c r="E28" s="144" t="s">
        <v>368</v>
      </c>
      <c r="F28" s="145">
        <f ca="1">RIM계산!C11</f>
        <v>49792.041384608892</v>
      </c>
      <c r="G28" s="146">
        <f ca="1">RIM계산!E11</f>
        <v>12.82370440156788</v>
      </c>
    </row>
    <row r="29" spans="2:14" x14ac:dyDescent="0.4">
      <c r="B29" s="147" t="s">
        <v>369</v>
      </c>
      <c r="C29" s="148">
        <f ca="1">IF(C26="초과이익 가정",IF(F31="정배열",F28,F30),C28*(1+D26))</f>
        <v>56843.424054574833</v>
      </c>
      <c r="E29" s="149" t="s">
        <v>370</v>
      </c>
      <c r="F29" s="150">
        <f ca="1">RIM계산!C12</f>
        <v>54233.55342947453</v>
      </c>
      <c r="G29" s="151">
        <f ca="1">RIM계산!E12</f>
        <v>13.967594789981764</v>
      </c>
    </row>
    <row r="30" spans="2:14" x14ac:dyDescent="0.4">
      <c r="B30" s="152" t="s">
        <v>371</v>
      </c>
      <c r="C30" s="153">
        <f ca="1">IF(C26="초과이익 가정",IF(F31="정배열",F30,F28),C28*(1-D26))</f>
        <v>49792.041384608892</v>
      </c>
      <c r="E30" s="149" t="s">
        <v>372</v>
      </c>
      <c r="F30" s="154">
        <f ca="1">RIM계산!C13</f>
        <v>56843.424054574833</v>
      </c>
      <c r="G30" s="155">
        <f ca="1">RIM계산!E13</f>
        <v>14.639754606931279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44166</v>
      </c>
      <c r="D33" s="108">
        <f>D21</f>
        <v>44531</v>
      </c>
      <c r="E33" s="108">
        <f>E21</f>
        <v>44896</v>
      </c>
      <c r="F33" s="108">
        <f>F21</f>
        <v>45261</v>
      </c>
      <c r="G33" s="108">
        <f>G21</f>
        <v>45627</v>
      </c>
      <c r="H33" s="161" t="s">
        <v>374</v>
      </c>
    </row>
    <row r="34" spans="2:8" x14ac:dyDescent="0.4">
      <c r="B34" s="118" t="s">
        <v>375</v>
      </c>
      <c r="C34" s="162">
        <f>Data!B43</f>
        <v>190</v>
      </c>
      <c r="D34" s="162">
        <f>Data!C43</f>
        <v>200</v>
      </c>
      <c r="E34" s="162">
        <f>Data!D43</f>
        <v>300</v>
      </c>
      <c r="F34" s="162">
        <f>Data!E43</f>
        <v>300</v>
      </c>
      <c r="G34" s="162">
        <f>Data!F43</f>
        <v>300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1.6299999999999999E-2</v>
      </c>
      <c r="D35" s="165">
        <f>Data!C44</f>
        <v>1.67E-2</v>
      </c>
      <c r="E35" s="165">
        <f>Data!D44</f>
        <v>1.01E-2</v>
      </c>
      <c r="F35" s="165">
        <f>Data!E44</f>
        <v>2.4500000000000001E-2</v>
      </c>
      <c r="G35" s="165">
        <f>Data!F44</f>
        <v>2.69E-2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2.86E-2</v>
      </c>
      <c r="D36" s="6">
        <f ca="1">Data!C39</f>
        <v>4.3499999999999997E-2</v>
      </c>
      <c r="E36" s="6">
        <f ca="1">Data!D39</f>
        <v>8.3599999999999994E-2</v>
      </c>
      <c r="F36" s="6">
        <f ca="1">Data!E39</f>
        <v>5.33E-2</v>
      </c>
      <c r="G36" s="6">
        <f ca="1">Data!F39</f>
        <v>6.0499999999999998E-2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1415</v>
      </c>
      <c r="D37" s="71">
        <f>Data!C41</f>
        <v>2280</v>
      </c>
      <c r="E37" s="71">
        <f>Data!D41</f>
        <v>4583</v>
      </c>
      <c r="F37" s="71">
        <f>Data!E41</f>
        <v>3033</v>
      </c>
      <c r="G37" s="71">
        <f>Data!F41</f>
        <v>3716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37224</v>
      </c>
      <c r="D38" s="71">
        <f>Data!C42</f>
        <v>39392</v>
      </c>
      <c r="E38" s="71">
        <f>Data!D42</f>
        <v>44218</v>
      </c>
      <c r="F38" s="71">
        <f>Data!E42</f>
        <v>46680</v>
      </c>
      <c r="G38" s="71">
        <f>Data!F42</f>
        <v>50003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5.1042338276380828E-3</v>
      </c>
      <c r="D39" s="169">
        <f t="shared" si="0"/>
        <v>5.077173030056864E-3</v>
      </c>
      <c r="E39" s="169">
        <f t="shared" si="0"/>
        <v>6.7845673707539918E-3</v>
      </c>
      <c r="F39" s="169">
        <f t="shared" si="0"/>
        <v>6.4267352185089976E-3</v>
      </c>
      <c r="G39" s="169">
        <f t="shared" si="0"/>
        <v>5.9996400215987043E-3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세방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7.8100000000000003E-2</v>
      </c>
      <c r="D42" s="6">
        <f>Data!C85</f>
        <v>0.1134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</v>
      </c>
      <c r="D43" s="183">
        <f>Data!C86</f>
        <v>6.31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2.69E-2</v>
      </c>
      <c r="D44" s="188">
        <f>Data!C87</f>
        <v>2.8000000000000001E-2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세방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15770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15,770/ </v>
      </c>
    </row>
    <row r="6" spans="1:9" x14ac:dyDescent="0.4">
      <c r="A6" s="15" t="s">
        <v>114</v>
      </c>
      <c r="B6" s="15">
        <f ca="1">I6</f>
        <v>0.54398000000000002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0.54398000000000002</v>
      </c>
    </row>
    <row r="7" spans="1:9" x14ac:dyDescent="0.4">
      <c r="A7" s="15" t="s">
        <v>123</v>
      </c>
      <c r="B7" s="66">
        <f ca="1">LEFT(I7,SEARCHB("/",I7)-1)*1</f>
        <v>19115603</v>
      </c>
      <c r="C7" s="66">
        <f ca="1">RIGHT(I7,LEN(I7)-SEARCHB("/",I7))*1</f>
        <v>3689250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19,115,603/ 3,689,250</v>
      </c>
    </row>
    <row r="8" spans="1:9" x14ac:dyDescent="0.4">
      <c r="A8" s="15" t="s">
        <v>177</v>
      </c>
      <c r="B8" s="66">
        <f ca="1">I8</f>
        <v>784733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784733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6.31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6.31</v>
      </c>
    </row>
    <row r="19" spans="1:9" x14ac:dyDescent="0.4">
      <c r="A19" s="9" t="s">
        <v>247</v>
      </c>
      <c r="B19" s="9">
        <f t="shared" ca="1" si="0"/>
        <v>4.09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4.09</v>
      </c>
    </row>
    <row r="20" spans="1:9" x14ac:dyDescent="0.4">
      <c r="A20" s="9" t="s">
        <v>84</v>
      </c>
      <c r="B20" s="9">
        <f t="shared" ca="1" si="0"/>
        <v>0.22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0.22</v>
      </c>
    </row>
    <row r="21" spans="1:9" x14ac:dyDescent="0.4">
      <c r="A21" s="9" t="s">
        <v>85</v>
      </c>
      <c r="B21" s="69">
        <f t="shared" ca="1" si="0"/>
        <v>2.69E-2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2.69E-2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44166</v>
      </c>
      <c r="C25" s="70">
        <v>44531</v>
      </c>
      <c r="D25" s="70">
        <v>44896</v>
      </c>
      <c r="E25" s="70">
        <v>45261</v>
      </c>
      <c r="F25" s="70">
        <v>45627</v>
      </c>
      <c r="G25" s="202">
        <v>45992</v>
      </c>
      <c r="H25" s="202">
        <v>46357</v>
      </c>
      <c r="I25" s="202">
        <v>46722</v>
      </c>
    </row>
    <row r="26" spans="1:9" x14ac:dyDescent="0.4">
      <c r="A26" s="1" t="s">
        <v>269</v>
      </c>
      <c r="B26" s="9">
        <v>2020</v>
      </c>
      <c r="C26" s="9">
        <v>2021</v>
      </c>
      <c r="D26" s="9">
        <v>2022</v>
      </c>
      <c r="E26" s="9">
        <v>2023</v>
      </c>
      <c r="F26" s="9">
        <v>2024</v>
      </c>
      <c r="G26" s="15">
        <v>2025</v>
      </c>
      <c r="H26" s="15">
        <v>2026</v>
      </c>
      <c r="I26" s="15">
        <v>2027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8422</v>
      </c>
      <c r="C27" s="71">
        <v>10577</v>
      </c>
      <c r="D27" s="71">
        <v>12904</v>
      </c>
      <c r="E27" s="71">
        <v>11420</v>
      </c>
      <c r="F27" s="71">
        <v>13734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164</v>
      </c>
      <c r="C28" s="71">
        <v>292</v>
      </c>
      <c r="D28" s="71">
        <v>451</v>
      </c>
      <c r="E28" s="71">
        <v>287</v>
      </c>
      <c r="F28" s="71">
        <v>245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164</v>
      </c>
      <c r="C29" s="71">
        <v>292</v>
      </c>
      <c r="D29" s="71">
        <v>451</v>
      </c>
      <c r="E29" s="71">
        <v>287</v>
      </c>
      <c r="F29" s="71">
        <v>245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326</v>
      </c>
      <c r="C30" s="71">
        <v>524</v>
      </c>
      <c r="D30" s="71">
        <v>1055</v>
      </c>
      <c r="E30" s="71">
        <v>700</v>
      </c>
      <c r="F30" s="71">
        <v>855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325</v>
      </c>
      <c r="C31" s="74">
        <v>524</v>
      </c>
      <c r="D31" s="74">
        <v>1054</v>
      </c>
      <c r="E31" s="74">
        <v>698</v>
      </c>
      <c r="F31" s="74">
        <v>855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1</v>
      </c>
      <c r="C32" s="71">
        <v>0</v>
      </c>
      <c r="D32" s="71">
        <v>1</v>
      </c>
      <c r="E32" s="71">
        <v>2</v>
      </c>
      <c r="F32" s="71">
        <v>0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11646</v>
      </c>
      <c r="C33" s="71">
        <v>12449</v>
      </c>
      <c r="D33" s="71">
        <v>12810</v>
      </c>
      <c r="E33" s="71">
        <v>13452</v>
      </c>
      <c r="F33" s="71">
        <v>14803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3112</v>
      </c>
      <c r="C34" s="71">
        <v>3478</v>
      </c>
      <c r="D34" s="71">
        <v>2775</v>
      </c>
      <c r="E34" s="71">
        <v>2870</v>
      </c>
      <c r="F34" s="71">
        <v>3457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8534</v>
      </c>
      <c r="C35" s="71">
        <v>8972</v>
      </c>
      <c r="D35" s="71">
        <v>10035</v>
      </c>
      <c r="E35" s="71">
        <v>10582</v>
      </c>
      <c r="F35" s="71">
        <v>11346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8505</v>
      </c>
      <c r="C36" s="74">
        <v>8943</v>
      </c>
      <c r="D36" s="74">
        <v>10007</v>
      </c>
      <c r="E36" s="74">
        <v>10564</v>
      </c>
      <c r="F36" s="74">
        <v>11329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30</v>
      </c>
      <c r="C37" s="71">
        <v>29</v>
      </c>
      <c r="D37" s="71">
        <v>28</v>
      </c>
      <c r="E37" s="71">
        <v>19</v>
      </c>
      <c r="F37" s="71">
        <v>17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115</v>
      </c>
      <c r="C38" s="71">
        <v>115</v>
      </c>
      <c r="D38" s="71">
        <v>115</v>
      </c>
      <c r="E38" s="71">
        <v>115</v>
      </c>
      <c r="F38" s="71">
        <v>115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2.86E-2</v>
      </c>
      <c r="C39" s="75">
        <f ca="1">OFFSET(INDIRECT($H$24),ROW()-2,COLUMN()-1,1,1)/100</f>
        <v>4.3499999999999997E-2</v>
      </c>
      <c r="D39" s="75">
        <f ca="1">OFFSET(INDIRECT($H$24),ROW()-2,COLUMN()-1,1,1)/100</f>
        <v>8.3599999999999994E-2</v>
      </c>
      <c r="E39" s="75">
        <f ca="1">OFFSET(INDIRECT($H$24),ROW()-2,COLUMN()-1,1,1)/100</f>
        <v>5.33E-2</v>
      </c>
      <c r="F39" s="75">
        <f ca="1">OFFSET(INDIRECT($H$24),ROW()-2,COLUMN()-1,1,1)/100</f>
        <v>6.0499999999999998E-2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3.8899999999999997E-2</v>
      </c>
      <c r="C40" s="75">
        <v>6.0100000000000001E-2</v>
      </c>
      <c r="D40" s="75">
        <v>0.11119999999999999</v>
      </c>
      <c r="E40" s="75">
        <v>6.7799999999999999E-2</v>
      </c>
      <c r="F40" s="75">
        <v>7.8100000000000003E-2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1415</v>
      </c>
      <c r="C41" s="71">
        <v>2280</v>
      </c>
      <c r="D41" s="71">
        <v>4583</v>
      </c>
      <c r="E41" s="71">
        <v>3033</v>
      </c>
      <c r="F41" s="71">
        <v>3716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37224</v>
      </c>
      <c r="C42" s="71">
        <v>39392</v>
      </c>
      <c r="D42" s="71">
        <v>44218</v>
      </c>
      <c r="E42" s="71">
        <v>46680</v>
      </c>
      <c r="F42" s="71">
        <v>50003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190</v>
      </c>
      <c r="C43" s="71">
        <v>200</v>
      </c>
      <c r="D43" s="71">
        <v>300</v>
      </c>
      <c r="E43" s="71">
        <v>300</v>
      </c>
      <c r="F43" s="71">
        <v>300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1.6299999999999999E-2</v>
      </c>
      <c r="C44" s="75">
        <v>1.67E-2</v>
      </c>
      <c r="D44" s="75">
        <v>1.01E-2</v>
      </c>
      <c r="E44" s="75">
        <v>2.4500000000000001E-2</v>
      </c>
      <c r="F44" s="75">
        <v>2.69E-2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3254</v>
      </c>
      <c r="C51" s="71">
        <f t="shared" ca="1" si="5"/>
        <v>3266</v>
      </c>
      <c r="D51" s="71">
        <f t="shared" ca="1" si="5"/>
        <v>3155</v>
      </c>
      <c r="E51" s="71">
        <f t="shared" ca="1" si="5"/>
        <v>3155</v>
      </c>
      <c r="F51" s="71">
        <f t="shared" ca="1" si="5"/>
        <v>3155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3155</v>
      </c>
    </row>
    <row r="52" spans="1:11" x14ac:dyDescent="0.4">
      <c r="A52" s="72" t="str">
        <f t="shared" ca="1" si="5"/>
        <v>영업이익</v>
      </c>
      <c r="B52" s="71">
        <f t="shared" ca="1" si="5"/>
        <v>107</v>
      </c>
      <c r="C52" s="71">
        <f t="shared" ca="1" si="5"/>
        <v>116</v>
      </c>
      <c r="D52" s="71">
        <f t="shared" ca="1" si="5"/>
        <v>73</v>
      </c>
      <c r="E52" s="71">
        <f t="shared" ca="1" si="5"/>
        <v>73</v>
      </c>
      <c r="F52" s="71">
        <f t="shared" ca="1" si="5"/>
        <v>73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107</v>
      </c>
      <c r="C53" s="71">
        <f t="shared" ca="1" si="5"/>
        <v>116</v>
      </c>
      <c r="D53" s="71">
        <f t="shared" ca="1" si="5"/>
        <v>73</v>
      </c>
      <c r="E53" s="71">
        <f t="shared" ca="1" si="5"/>
        <v>73</v>
      </c>
      <c r="F53" s="71">
        <f t="shared" ca="1" si="5"/>
        <v>73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280</v>
      </c>
      <c r="C54" s="71">
        <f t="shared" ca="1" si="5"/>
        <v>174</v>
      </c>
      <c r="D54" s="71">
        <f t="shared" ca="1" si="5"/>
        <v>116</v>
      </c>
      <c r="E54" s="71">
        <f t="shared" ca="1" si="5"/>
        <v>116</v>
      </c>
      <c r="F54" s="71">
        <f t="shared" ca="1" si="5"/>
        <v>116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280</v>
      </c>
      <c r="C55" s="71">
        <f t="shared" ca="1" si="5"/>
        <v>174</v>
      </c>
      <c r="D55" s="71">
        <f t="shared" ca="1" si="5"/>
        <v>116</v>
      </c>
      <c r="E55" s="71">
        <f t="shared" ca="1" si="5"/>
        <v>116</v>
      </c>
      <c r="F55" s="71">
        <f t="shared" ca="1" si="5"/>
        <v>116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522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14637</v>
      </c>
      <c r="C57" s="71">
        <f t="shared" ca="1" si="5"/>
        <v>14769</v>
      </c>
      <c r="D57" s="71">
        <f t="shared" ca="1" si="5"/>
        <v>14897</v>
      </c>
      <c r="E57" s="71">
        <f t="shared" ca="1" si="5"/>
        <v>14897</v>
      </c>
      <c r="F57" s="71">
        <f t="shared" ca="1" si="5"/>
        <v>14897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3066</v>
      </c>
      <c r="C58" s="71">
        <f t="shared" ca="1" si="5"/>
        <v>2981</v>
      </c>
      <c r="D58" s="71">
        <f t="shared" ca="1" si="5"/>
        <v>2923</v>
      </c>
      <c r="E58" s="71">
        <f t="shared" ca="1" si="5"/>
        <v>2923</v>
      </c>
      <c r="F58" s="71">
        <f t="shared" ca="1" si="5"/>
        <v>2923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11571</v>
      </c>
      <c r="C59" s="71">
        <f t="shared" ca="1" si="5"/>
        <v>11788</v>
      </c>
      <c r="D59" s="71">
        <f t="shared" ca="1" si="5"/>
        <v>11974</v>
      </c>
      <c r="E59" s="71">
        <f t="shared" ca="1" si="5"/>
        <v>11974</v>
      </c>
      <c r="F59" s="71">
        <f t="shared" ca="1" si="5"/>
        <v>11974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11553</v>
      </c>
      <c r="C60" s="71">
        <f t="shared" ca="1" si="5"/>
        <v>11769</v>
      </c>
      <c r="D60" s="71">
        <f t="shared" ca="1" si="5"/>
        <v>11956</v>
      </c>
      <c r="E60" s="71">
        <f t="shared" ca="1" si="5"/>
        <v>11956</v>
      </c>
      <c r="F60" s="71">
        <f t="shared" ca="1" si="5"/>
        <v>11956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11754.5</v>
      </c>
    </row>
    <row r="61" spans="1:11" x14ac:dyDescent="0.4">
      <c r="A61" s="72" t="str">
        <f t="shared" ca="1" si="5"/>
        <v>  비지배주주지분</v>
      </c>
      <c r="B61" s="71">
        <f t="shared" ca="1" si="5"/>
        <v>18</v>
      </c>
      <c r="C61" s="71">
        <f t="shared" ca="1" si="5"/>
        <v>19</v>
      </c>
      <c r="D61" s="71">
        <f t="shared" ca="1" si="5"/>
        <v>18</v>
      </c>
      <c r="E61" s="71">
        <f t="shared" ca="1" si="5"/>
        <v>18</v>
      </c>
      <c r="F61" s="71">
        <f t="shared" ca="1" si="5"/>
        <v>18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4.4408524394912587E-2</v>
      </c>
    </row>
    <row r="62" spans="1:11" x14ac:dyDescent="0.4">
      <c r="A62" s="72" t="str">
        <f t="shared" ca="1" si="5"/>
        <v>자본금</v>
      </c>
      <c r="B62" s="71">
        <f t="shared" ca="1" si="5"/>
        <v>115</v>
      </c>
      <c r="C62" s="71">
        <f t="shared" ca="1" si="5"/>
        <v>115</v>
      </c>
      <c r="D62" s="71">
        <f t="shared" ca="1" si="5"/>
        <v>115</v>
      </c>
      <c r="E62" s="71">
        <f t="shared" ca="1" si="5"/>
        <v>115</v>
      </c>
      <c r="F62" s="71">
        <f t="shared" ca="1" si="5"/>
        <v>115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4.4408524394912587E-2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7.8100000000000003E-2</v>
      </c>
      <c r="C85" s="75">
        <v>0.1134</v>
      </c>
      <c r="D85" s="75">
        <v>7.4700000000000003E-2</v>
      </c>
    </row>
    <row r="86" spans="1:9" x14ac:dyDescent="0.4">
      <c r="A86" s="9" t="s">
        <v>74</v>
      </c>
      <c r="B86" s="183">
        <v>3</v>
      </c>
      <c r="C86" s="183">
        <v>6.31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2.69E-2</v>
      </c>
      <c r="C87" s="75">
        <v>2.8000000000000001E-2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2024</v>
      </c>
      <c r="D2" s="1" t="s">
        <v>249</v>
      </c>
      <c r="E2" s="174">
        <f>Data!B40</f>
        <v>3.8899999999999997E-2</v>
      </c>
      <c r="F2" s="174">
        <f>Data!C40</f>
        <v>6.0100000000000001E-2</v>
      </c>
      <c r="G2" s="174">
        <f>Data!D40</f>
        <v>0.11119999999999999</v>
      </c>
      <c r="H2" s="174">
        <f>Data!E40</f>
        <v>6.7799999999999999E-2</v>
      </c>
      <c r="I2" s="174">
        <f>Data!F40</f>
        <v>7.8100000000000003E-2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4.4408524394912587E-2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8505</v>
      </c>
      <c r="F3" s="76">
        <f>Data!C36</f>
        <v>8943</v>
      </c>
      <c r="G3" s="76">
        <f>Data!D36</f>
        <v>10007</v>
      </c>
      <c r="H3" s="76">
        <f>Data!E36</f>
        <v>10564</v>
      </c>
      <c r="I3" s="76">
        <f>Data!F36</f>
        <v>11329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11956</v>
      </c>
    </row>
    <row r="4" spans="1:13" x14ac:dyDescent="0.4">
      <c r="A4" s="15" t="s">
        <v>384</v>
      </c>
      <c r="B4" s="13">
        <f ca="1">Data!B7+Data!C7</f>
        <v>22804853</v>
      </c>
      <c r="D4" s="1" t="s">
        <v>362</v>
      </c>
      <c r="E4" s="199">
        <f>DATE(Data!B26,12,31)</f>
        <v>44196</v>
      </c>
      <c r="F4" s="199">
        <f>DATE(Data!C26,12,31)</f>
        <v>44561</v>
      </c>
      <c r="G4" s="199">
        <f>DATE(Data!D26,12,31)</f>
        <v>44926</v>
      </c>
      <c r="H4" s="199">
        <f>DATE(Data!E26,12,31)</f>
        <v>45291</v>
      </c>
      <c r="I4" s="199">
        <f>DATE(Data!F26,12,31)</f>
        <v>45657</v>
      </c>
      <c r="J4" s="199">
        <f>DATE(Data!G26,12,31)</f>
        <v>46022</v>
      </c>
      <c r="K4" s="199">
        <f>DATE(Data!H26,12,31)</f>
        <v>46387</v>
      </c>
      <c r="L4" s="199">
        <f>DATE(Data!I26,12,31)</f>
        <v>46752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784733</v>
      </c>
      <c r="D5" s="1" t="s">
        <v>385</v>
      </c>
      <c r="E5" s="76">
        <f>Data!B31</f>
        <v>325</v>
      </c>
      <c r="F5" s="76">
        <f>Data!C31</f>
        <v>524</v>
      </c>
      <c r="G5" s="76">
        <f>Data!D31</f>
        <v>1054</v>
      </c>
      <c r="H5" s="76">
        <f>Data!E31</f>
        <v>698</v>
      </c>
      <c r="I5" s="76">
        <f>Data!F31</f>
        <v>855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522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8.0183333333333329E-2</v>
      </c>
      <c r="E7" s="5" t="s">
        <v>386</v>
      </c>
      <c r="F7" s="50">
        <v>45657</v>
      </c>
      <c r="G7" s="5" t="s">
        <v>387</v>
      </c>
      <c r="H7" s="60">
        <f ca="1">TODAY()</f>
        <v>46101</v>
      </c>
      <c r="I7" s="5" t="s">
        <v>388</v>
      </c>
      <c r="J7" s="5">
        <v>2034</v>
      </c>
    </row>
    <row r="8" spans="1:13" x14ac:dyDescent="0.4">
      <c r="E8" s="5" t="s">
        <v>389</v>
      </c>
      <c r="F8" s="49">
        <f ca="1">IF(ISNA(HLOOKUP(B7,$E$2:$M$3,2,FALSE)),M3,HLOOKUP(B7,$E$2:$M$3,2,FALSE))</f>
        <v>11956</v>
      </c>
      <c r="G8" s="5" t="s">
        <v>390</v>
      </c>
      <c r="H8" s="61">
        <f ca="1">F7-H7</f>
        <v>-444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10964.267263340538</v>
      </c>
      <c r="C11" s="41">
        <f ca="1">C26</f>
        <v>49792.041384608892</v>
      </c>
      <c r="D11" s="42" t="s">
        <v>369</v>
      </c>
      <c r="E11" s="176">
        <f ca="1">B11/$I$5</f>
        <v>12.82370440156788</v>
      </c>
    </row>
    <row r="12" spans="1:13" ht="16.5" customHeight="1" x14ac:dyDescent="0.4">
      <c r="A12" s="35" t="s">
        <v>370</v>
      </c>
      <c r="B12" s="36">
        <f ca="1">C38</f>
        <v>11942.293545434408</v>
      </c>
      <c r="C12" s="37">
        <f ca="1">C39</f>
        <v>54233.55342947453</v>
      </c>
      <c r="D12" s="38" t="s">
        <v>394</v>
      </c>
      <c r="E12" s="177">
        <f ca="1">B12/$I$5</f>
        <v>13.967594789981764</v>
      </c>
    </row>
    <row r="13" spans="1:13" ht="16.5" customHeight="1" x14ac:dyDescent="0.4">
      <c r="A13" s="43" t="s">
        <v>372</v>
      </c>
      <c r="B13" s="44">
        <f ca="1">C51</f>
        <v>12516.990188926244</v>
      </c>
      <c r="C13" s="45">
        <f ca="1">C52</f>
        <v>56843.424054574833</v>
      </c>
      <c r="D13" s="46" t="s">
        <v>371</v>
      </c>
      <c r="E13" s="178">
        <f ca="1">B13/$I$5</f>
        <v>14.639754606931279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45657</v>
      </c>
      <c r="C16" s="200">
        <f t="shared" ref="C16:L16" si="0">B16+365</f>
        <v>46022</v>
      </c>
      <c r="D16" s="200">
        <f t="shared" si="0"/>
        <v>46387</v>
      </c>
      <c r="E16" s="200">
        <f t="shared" si="0"/>
        <v>46752</v>
      </c>
      <c r="F16" s="200">
        <f t="shared" si="0"/>
        <v>47117</v>
      </c>
      <c r="G16" s="200">
        <f t="shared" si="0"/>
        <v>47482</v>
      </c>
      <c r="H16" s="200">
        <f t="shared" si="0"/>
        <v>47847</v>
      </c>
      <c r="I16" s="200">
        <f t="shared" si="0"/>
        <v>48212</v>
      </c>
      <c r="J16" s="200">
        <f t="shared" si="0"/>
        <v>48577</v>
      </c>
      <c r="K16" s="200">
        <f t="shared" si="0"/>
        <v>48942</v>
      </c>
      <c r="L16" s="200">
        <f t="shared" si="0"/>
        <v>49307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-2.2416666666666668E-2</v>
      </c>
      <c r="C18" s="19">
        <f t="shared" ref="C18:L18" ca="1" si="2">IF(YEAR(C16)&gt;$J$7,0,B18*$B$15)</f>
        <v>-2.2416666666666668E-2</v>
      </c>
      <c r="D18" s="19">
        <f t="shared" ca="1" si="2"/>
        <v>-2.2416666666666668E-2</v>
      </c>
      <c r="E18" s="19">
        <f t="shared" ca="1" si="2"/>
        <v>-2.2416666666666668E-2</v>
      </c>
      <c r="F18" s="19">
        <f t="shared" ca="1" si="2"/>
        <v>-2.2416666666666668E-2</v>
      </c>
      <c r="G18" s="19">
        <f t="shared" ca="1" si="2"/>
        <v>-2.2416666666666668E-2</v>
      </c>
      <c r="H18" s="19">
        <f t="shared" ca="1" si="2"/>
        <v>-2.2416666666666668E-2</v>
      </c>
      <c r="I18" s="19">
        <f t="shared" ca="1" si="2"/>
        <v>-2.2416666666666668E-2</v>
      </c>
      <c r="J18" s="19">
        <f t="shared" ca="1" si="2"/>
        <v>-2.2416666666666668E-2</v>
      </c>
      <c r="K18" s="19">
        <f t="shared" ca="1" si="2"/>
        <v>-2.2416666666666668E-2</v>
      </c>
      <c r="L18" s="19">
        <f t="shared" ca="1" si="2"/>
        <v>-2.2416666666666668E-2</v>
      </c>
    </row>
    <row r="19" spans="1:12" x14ac:dyDescent="0.4">
      <c r="A19" s="15" t="s">
        <v>249</v>
      </c>
      <c r="B19" s="19">
        <f t="shared" ref="B19:L19" ca="1" si="3">B17+B18</f>
        <v>8.0183333333333329E-2</v>
      </c>
      <c r="C19" s="19">
        <f t="shared" ca="1" si="3"/>
        <v>8.0183333333333329E-2</v>
      </c>
      <c r="D19" s="19">
        <f t="shared" ca="1" si="3"/>
        <v>8.0183333333333329E-2</v>
      </c>
      <c r="E19" s="19">
        <f t="shared" ca="1" si="3"/>
        <v>8.0183333333333329E-2</v>
      </c>
      <c r="F19" s="19">
        <f t="shared" ca="1" si="3"/>
        <v>8.0183333333333329E-2</v>
      </c>
      <c r="G19" s="19">
        <f t="shared" ca="1" si="3"/>
        <v>8.0183333333333329E-2</v>
      </c>
      <c r="H19" s="19">
        <f t="shared" ca="1" si="3"/>
        <v>8.0183333333333329E-2</v>
      </c>
      <c r="I19" s="19">
        <f t="shared" ca="1" si="3"/>
        <v>8.0183333333333329E-2</v>
      </c>
      <c r="J19" s="19">
        <f t="shared" ca="1" si="3"/>
        <v>8.0183333333333329E-2</v>
      </c>
      <c r="K19" s="19">
        <f t="shared" ca="1" si="3"/>
        <v>8.0183333333333329E-2</v>
      </c>
      <c r="L19" s="19">
        <f t="shared" ca="1" si="3"/>
        <v>8.0183333333333329E-2</v>
      </c>
    </row>
    <row r="20" spans="1:12" x14ac:dyDescent="0.4">
      <c r="A20" s="15" t="s">
        <v>385</v>
      </c>
      <c r="B20" s="20"/>
      <c r="C20" s="20">
        <f t="shared" ref="C20:L20" ca="1" si="4">B21*C19</f>
        <v>958.6719333333333</v>
      </c>
      <c r="D20" s="20">
        <f t="shared" ca="1" si="4"/>
        <v>1035.5414445211111</v>
      </c>
      <c r="E20" s="20">
        <f t="shared" ca="1" si="4"/>
        <v>1118.5746093476289</v>
      </c>
      <c r="F20" s="20">
        <f t="shared" ca="1" si="4"/>
        <v>1208.2656501071529</v>
      </c>
      <c r="G20" s="20">
        <f t="shared" ca="1" si="4"/>
        <v>1305.1484174849113</v>
      </c>
      <c r="H20" s="20">
        <f t="shared" ca="1" si="4"/>
        <v>1409.7995680935765</v>
      </c>
      <c r="I20" s="20">
        <f t="shared" ca="1" si="4"/>
        <v>1522.8419967952132</v>
      </c>
      <c r="J20" s="20">
        <f t="shared" ca="1" si="4"/>
        <v>1644.9485442382427</v>
      </c>
      <c r="K20" s="20">
        <f t="shared" ca="1" si="4"/>
        <v>1776.8460016770791</v>
      </c>
      <c r="L20" s="20">
        <f t="shared" ca="1" si="4"/>
        <v>1919.3194369115531</v>
      </c>
    </row>
    <row r="21" spans="1:12" x14ac:dyDescent="0.4">
      <c r="A21" s="15" t="s">
        <v>383</v>
      </c>
      <c r="B21" s="20">
        <f ca="1">$F$8</f>
        <v>11956</v>
      </c>
      <c r="C21" s="20">
        <f t="shared" ref="C21:L21" ca="1" si="5">B21+C20</f>
        <v>12914.671933333333</v>
      </c>
      <c r="D21" s="20">
        <f t="shared" ca="1" si="5"/>
        <v>13950.213377854445</v>
      </c>
      <c r="E21" s="20">
        <f t="shared" ca="1" si="5"/>
        <v>15068.787987202073</v>
      </c>
      <c r="F21" s="20">
        <f t="shared" ca="1" si="5"/>
        <v>16277.053637309225</v>
      </c>
      <c r="G21" s="20">
        <f t="shared" ca="1" si="5"/>
        <v>17582.202054794136</v>
      </c>
      <c r="H21" s="20">
        <f t="shared" ca="1" si="5"/>
        <v>18992.001622887714</v>
      </c>
      <c r="I21" s="20">
        <f t="shared" ca="1" si="5"/>
        <v>20514.843619682928</v>
      </c>
      <c r="J21" s="20">
        <f t="shared" ca="1" si="5"/>
        <v>22159.792163921171</v>
      </c>
      <c r="K21" s="20">
        <f t="shared" ca="1" si="5"/>
        <v>23936.638165598251</v>
      </c>
      <c r="L21" s="20">
        <f t="shared" ca="1" si="5"/>
        <v>25855.957602509803</v>
      </c>
    </row>
    <row r="22" spans="1:12" x14ac:dyDescent="0.4">
      <c r="A22" s="15" t="s">
        <v>398</v>
      </c>
      <c r="B22" s="20"/>
      <c r="C22" s="20">
        <f t="shared" ref="C22:L22" ca="1" si="6">C20-B21*C17</f>
        <v>-268.01366666666672</v>
      </c>
      <c r="D22" s="20">
        <f t="shared" ca="1" si="6"/>
        <v>-289.50389583888887</v>
      </c>
      <c r="E22" s="20">
        <f t="shared" ca="1" si="6"/>
        <v>-312.71728322023705</v>
      </c>
      <c r="F22" s="20">
        <f t="shared" ca="1" si="6"/>
        <v>-337.79199737977979</v>
      </c>
      <c r="G22" s="20">
        <f t="shared" ca="1" si="6"/>
        <v>-364.8772857030151</v>
      </c>
      <c r="H22" s="20">
        <f t="shared" ca="1" si="6"/>
        <v>-394.13436272830177</v>
      </c>
      <c r="I22" s="20">
        <f t="shared" ca="1" si="6"/>
        <v>-425.7373697130663</v>
      </c>
      <c r="J22" s="20">
        <f t="shared" ca="1" si="6"/>
        <v>-459.87441114122589</v>
      </c>
      <c r="K22" s="20">
        <f t="shared" ca="1" si="6"/>
        <v>-496.7486743412328</v>
      </c>
      <c r="L22" s="20">
        <f t="shared" ca="1" si="6"/>
        <v>-536.57963887882761</v>
      </c>
    </row>
    <row r="23" spans="1:12" x14ac:dyDescent="0.4">
      <c r="A23" s="15" t="s">
        <v>399</v>
      </c>
      <c r="B23" s="62">
        <f ca="1">NPV($B$3,C22:L22)</f>
        <v>-2219.9959579698934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9736.0040420301066</v>
      </c>
      <c r="C25" s="63">
        <f ca="1">B25/(1+$B$3)^($H$8/365)</f>
        <v>10964.267263340538</v>
      </c>
    </row>
    <row r="26" spans="1:12" x14ac:dyDescent="0.4">
      <c r="A26" s="15" t="s">
        <v>363</v>
      </c>
      <c r="B26" s="23">
        <f ca="1">B25*100000000/($B$4-$B$5)</f>
        <v>44214.127997622658</v>
      </c>
      <c r="C26" s="23">
        <f ca="1">B26/(1+$B$3)^($H$8/365)</f>
        <v>49792.041384608892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45657</v>
      </c>
      <c r="C29" s="200">
        <f t="shared" ref="C29:L29" si="7">B29+365</f>
        <v>46022</v>
      </c>
      <c r="D29" s="200">
        <f t="shared" si="7"/>
        <v>46387</v>
      </c>
      <c r="E29" s="200">
        <f t="shared" si="7"/>
        <v>46752</v>
      </c>
      <c r="F29" s="200">
        <f t="shared" si="7"/>
        <v>47117</v>
      </c>
      <c r="G29" s="200">
        <f t="shared" si="7"/>
        <v>47482</v>
      </c>
      <c r="H29" s="200">
        <f t="shared" si="7"/>
        <v>47847</v>
      </c>
      <c r="I29" s="200">
        <f t="shared" si="7"/>
        <v>48212</v>
      </c>
      <c r="J29" s="200">
        <f t="shared" si="7"/>
        <v>48577</v>
      </c>
      <c r="K29" s="200">
        <f t="shared" si="7"/>
        <v>48942</v>
      </c>
      <c r="L29" s="200">
        <f t="shared" si="7"/>
        <v>49307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-2.2416666666666668E-2</v>
      </c>
      <c r="C31" s="19">
        <f t="shared" ref="C31:L31" ca="1" si="9">IF(YEAR(C16)&gt;$J$7,0,B31*$B$28)</f>
        <v>-2.0175000000000002E-2</v>
      </c>
      <c r="D31" s="19">
        <f t="shared" ca="1" si="9"/>
        <v>-1.8157500000000003E-2</v>
      </c>
      <c r="E31" s="19">
        <f t="shared" ca="1" si="9"/>
        <v>-1.6341750000000002E-2</v>
      </c>
      <c r="F31" s="19">
        <f t="shared" ca="1" si="9"/>
        <v>-1.4707575000000002E-2</v>
      </c>
      <c r="G31" s="19">
        <f t="shared" ca="1" si="9"/>
        <v>-1.3236817500000003E-2</v>
      </c>
      <c r="H31" s="19">
        <f t="shared" ca="1" si="9"/>
        <v>-1.1913135750000003E-2</v>
      </c>
      <c r="I31" s="19">
        <f t="shared" ca="1" si="9"/>
        <v>-1.0721822175000003E-2</v>
      </c>
      <c r="J31" s="19">
        <f t="shared" ca="1" si="9"/>
        <v>-9.6496399575000027E-3</v>
      </c>
      <c r="K31" s="19">
        <f t="shared" ca="1" si="9"/>
        <v>-8.6846759617500019E-3</v>
      </c>
      <c r="L31" s="19">
        <f t="shared" ca="1" si="9"/>
        <v>-7.8162083655750024E-3</v>
      </c>
    </row>
    <row r="32" spans="1:12" x14ac:dyDescent="0.4">
      <c r="A32" s="15" t="s">
        <v>249</v>
      </c>
      <c r="B32" s="19">
        <f t="shared" ref="B32:L32" ca="1" si="10">B30+B31</f>
        <v>8.0183333333333329E-2</v>
      </c>
      <c r="C32" s="19">
        <f t="shared" ca="1" si="10"/>
        <v>8.2424999999999998E-2</v>
      </c>
      <c r="D32" s="19">
        <f t="shared" ca="1" si="10"/>
        <v>8.444249999999999E-2</v>
      </c>
      <c r="E32" s="19">
        <f t="shared" ca="1" si="10"/>
        <v>8.6258249999999995E-2</v>
      </c>
      <c r="F32" s="19">
        <f t="shared" ca="1" si="10"/>
        <v>8.7892424999999996E-2</v>
      </c>
      <c r="G32" s="19">
        <f t="shared" ca="1" si="10"/>
        <v>8.9363182499999999E-2</v>
      </c>
      <c r="H32" s="19">
        <f t="shared" ca="1" si="10"/>
        <v>9.0686864249999999E-2</v>
      </c>
      <c r="I32" s="19">
        <f t="shared" ca="1" si="10"/>
        <v>9.187817782499999E-2</v>
      </c>
      <c r="J32" s="19">
        <f t="shared" ca="1" si="10"/>
        <v>9.2950360042499999E-2</v>
      </c>
      <c r="K32" s="19">
        <f t="shared" ca="1" si="10"/>
        <v>9.3915324038249995E-2</v>
      </c>
      <c r="L32" s="19">
        <f t="shared" ca="1" si="10"/>
        <v>9.4783791634424991E-2</v>
      </c>
    </row>
    <row r="33" spans="1:12" x14ac:dyDescent="0.4">
      <c r="A33" s="15" t="s">
        <v>385</v>
      </c>
      <c r="B33" s="20"/>
      <c r="C33" s="20">
        <f t="shared" ref="C33:L33" ca="1" si="11">B34*C32</f>
        <v>985.47329999999999</v>
      </c>
      <c r="D33" s="20">
        <f t="shared" ca="1" si="11"/>
        <v>1092.8103591352499</v>
      </c>
      <c r="E33" s="20">
        <f t="shared" ca="1" si="11"/>
        <v>1210.5727484406032</v>
      </c>
      <c r="F33" s="20">
        <f t="shared" ca="1" si="11"/>
        <v>1339.90739843863</v>
      </c>
      <c r="G33" s="20">
        <f t="shared" ca="1" si="11"/>
        <v>1482.0672747162666</v>
      </c>
      <c r="H33" s="20">
        <f t="shared" ca="1" si="11"/>
        <v>1638.4242576459103</v>
      </c>
      <c r="I33" s="20">
        <f t="shared" ca="1" si="11"/>
        <v>1810.4829540664011</v>
      </c>
      <c r="J33" s="20">
        <f t="shared" ca="1" si="11"/>
        <v>1999.8956208627867</v>
      </c>
      <c r="K33" s="20">
        <f t="shared" ca="1" si="11"/>
        <v>2208.4783789329795</v>
      </c>
      <c r="L33" s="20">
        <f t="shared" ca="1" si="11"/>
        <v>2438.2288994881155</v>
      </c>
    </row>
    <row r="34" spans="1:12" x14ac:dyDescent="0.4">
      <c r="A34" s="15" t="s">
        <v>383</v>
      </c>
      <c r="B34" s="20">
        <f ca="1">$F$8</f>
        <v>11956</v>
      </c>
      <c r="C34" s="20">
        <f t="shared" ref="C34:L34" ca="1" si="12">B34+C33</f>
        <v>12941.4733</v>
      </c>
      <c r="D34" s="20">
        <f t="shared" ca="1" si="12"/>
        <v>14034.28365913525</v>
      </c>
      <c r="E34" s="20">
        <f t="shared" ca="1" si="12"/>
        <v>15244.856407575853</v>
      </c>
      <c r="F34" s="20">
        <f t="shared" ca="1" si="12"/>
        <v>16584.763806014482</v>
      </c>
      <c r="G34" s="20">
        <f t="shared" ca="1" si="12"/>
        <v>18066.83108073075</v>
      </c>
      <c r="H34" s="20">
        <f t="shared" ca="1" si="12"/>
        <v>19705.255338376661</v>
      </c>
      <c r="I34" s="20">
        <f t="shared" ca="1" si="12"/>
        <v>21515.73829244306</v>
      </c>
      <c r="J34" s="20">
        <f t="shared" ca="1" si="12"/>
        <v>23515.633913305846</v>
      </c>
      <c r="K34" s="20">
        <f t="shared" ca="1" si="12"/>
        <v>25724.112292238824</v>
      </c>
      <c r="L34" s="20">
        <f t="shared" ca="1" si="12"/>
        <v>28162.34119172694</v>
      </c>
    </row>
    <row r="35" spans="1:12" x14ac:dyDescent="0.4">
      <c r="A35" s="15" t="s">
        <v>398</v>
      </c>
      <c r="B35" s="20"/>
      <c r="C35" s="20">
        <f t="shared" ref="C35:L35" ca="1" si="13">C33-B34*C30</f>
        <v>-241.21230000000003</v>
      </c>
      <c r="D35" s="20">
        <f t="shared" ca="1" si="13"/>
        <v>-234.98480144475002</v>
      </c>
      <c r="E35" s="20">
        <f t="shared" ca="1" si="13"/>
        <v>-229.34475498667348</v>
      </c>
      <c r="F35" s="20">
        <f t="shared" ca="1" si="13"/>
        <v>-224.21486897865248</v>
      </c>
      <c r="G35" s="20">
        <f t="shared" ca="1" si="13"/>
        <v>-219.52949178081917</v>
      </c>
      <c r="H35" s="20">
        <f t="shared" ca="1" si="13"/>
        <v>-215.23261123706448</v>
      </c>
      <c r="I35" s="20">
        <f t="shared" ca="1" si="13"/>
        <v>-211.2762436510443</v>
      </c>
      <c r="J35" s="20">
        <f t="shared" ca="1" si="13"/>
        <v>-207.61912794187106</v>
      </c>
      <c r="K35" s="20">
        <f t="shared" ca="1" si="13"/>
        <v>-204.22566057220047</v>
      </c>
      <c r="L35" s="20">
        <f t="shared" ca="1" si="13"/>
        <v>-201.0650216955878</v>
      </c>
    </row>
    <row r="36" spans="1:12" x14ac:dyDescent="0.4">
      <c r="A36" s="15" t="s">
        <v>399</v>
      </c>
      <c r="B36" s="62">
        <f ca="1">NPV($B$3,C35:L35)</f>
        <v>-1351.5322834738336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10604.467716526167</v>
      </c>
      <c r="C38" s="63">
        <f ca="1">B38/(1+$B$3)^($H$8/365)</f>
        <v>11942.293545434408</v>
      </c>
    </row>
    <row r="39" spans="1:12" x14ac:dyDescent="0.4">
      <c r="A39" s="15" t="s">
        <v>363</v>
      </c>
      <c r="B39" s="23">
        <f ca="1">B38*100000000/($B$4-$B$5)</f>
        <v>48158.083228093972</v>
      </c>
      <c r="C39" s="23">
        <f ca="1">B39/(1+$B$3)^($H$8/365)</f>
        <v>54233.55342947453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45657</v>
      </c>
      <c r="C42" s="200">
        <f t="shared" ref="C42:L42" si="14">B42+365</f>
        <v>46022</v>
      </c>
      <c r="D42" s="200">
        <f t="shared" si="14"/>
        <v>46387</v>
      </c>
      <c r="E42" s="200">
        <f t="shared" si="14"/>
        <v>46752</v>
      </c>
      <c r="F42" s="200">
        <f t="shared" si="14"/>
        <v>47117</v>
      </c>
      <c r="G42" s="200">
        <f t="shared" si="14"/>
        <v>47482</v>
      </c>
      <c r="H42" s="200">
        <f t="shared" si="14"/>
        <v>47847</v>
      </c>
      <c r="I42" s="200">
        <f t="shared" si="14"/>
        <v>48212</v>
      </c>
      <c r="J42" s="200">
        <f t="shared" si="14"/>
        <v>48577</v>
      </c>
      <c r="K42" s="200">
        <f t="shared" si="14"/>
        <v>48942</v>
      </c>
      <c r="L42" s="200">
        <f t="shared" si="14"/>
        <v>49307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-2.2416666666666668E-2</v>
      </c>
      <c r="C44" s="19">
        <f t="shared" ref="C44:L44" ca="1" si="16">IF(YEAR(C16)&gt;$J$7,0,B44*$B$41)</f>
        <v>-1.7933333333333336E-2</v>
      </c>
      <c r="D44" s="19">
        <f t="shared" ca="1" si="16"/>
        <v>-1.4346666666666669E-2</v>
      </c>
      <c r="E44" s="19">
        <f t="shared" ca="1" si="16"/>
        <v>-1.1477333333333336E-2</v>
      </c>
      <c r="F44" s="19">
        <f t="shared" ca="1" si="16"/>
        <v>-9.1818666666666684E-3</v>
      </c>
      <c r="G44" s="19">
        <f t="shared" ca="1" si="16"/>
        <v>-7.3454933333333347E-3</v>
      </c>
      <c r="H44" s="19">
        <f t="shared" ca="1" si="16"/>
        <v>-5.8763946666666681E-3</v>
      </c>
      <c r="I44" s="19">
        <f t="shared" ca="1" si="16"/>
        <v>-4.7011157333333347E-3</v>
      </c>
      <c r="J44" s="19">
        <f t="shared" ca="1" si="16"/>
        <v>-3.760892586666668E-3</v>
      </c>
      <c r="K44" s="19">
        <f t="shared" ca="1" si="16"/>
        <v>-3.0087140693333347E-3</v>
      </c>
      <c r="L44" s="19">
        <f t="shared" ca="1" si="16"/>
        <v>-2.4069712554666677E-3</v>
      </c>
    </row>
    <row r="45" spans="1:12" x14ac:dyDescent="0.4">
      <c r="A45" s="15" t="s">
        <v>249</v>
      </c>
      <c r="B45" s="19">
        <f t="shared" ref="B45:L45" ca="1" si="17">B43+B44</f>
        <v>8.0183333333333329E-2</v>
      </c>
      <c r="C45" s="19">
        <f t="shared" ca="1" si="17"/>
        <v>8.4666666666666668E-2</v>
      </c>
      <c r="D45" s="19">
        <f t="shared" ca="1" si="17"/>
        <v>8.8253333333333323E-2</v>
      </c>
      <c r="E45" s="19">
        <f t="shared" ca="1" si="17"/>
        <v>9.1122666666666657E-2</v>
      </c>
      <c r="F45" s="19">
        <f t="shared" ca="1" si="17"/>
        <v>9.3418133333333334E-2</v>
      </c>
      <c r="G45" s="19">
        <f t="shared" ca="1" si="17"/>
        <v>9.5254506666666655E-2</v>
      </c>
      <c r="H45" s="19">
        <f t="shared" ca="1" si="17"/>
        <v>9.6723605333333323E-2</v>
      </c>
      <c r="I45" s="19">
        <f t="shared" ca="1" si="17"/>
        <v>9.7898884266666666E-2</v>
      </c>
      <c r="J45" s="19">
        <f t="shared" ca="1" si="17"/>
        <v>9.8839107413333335E-2</v>
      </c>
      <c r="K45" s="19">
        <f t="shared" ca="1" si="17"/>
        <v>9.9591285930666656E-2</v>
      </c>
      <c r="L45" s="19">
        <f t="shared" ca="1" si="17"/>
        <v>0.10019302874453333</v>
      </c>
    </row>
    <row r="46" spans="1:12" x14ac:dyDescent="0.4">
      <c r="A46" s="15" t="s">
        <v>385</v>
      </c>
      <c r="B46" s="20"/>
      <c r="C46" s="20">
        <f t="shared" ref="C46:L46" ca="1" si="18">B47*C45</f>
        <v>1012.2746666666667</v>
      </c>
      <c r="D46" s="20">
        <f t="shared" ca="1" si="18"/>
        <v>1144.4934669155555</v>
      </c>
      <c r="E46" s="20">
        <f t="shared" ca="1" si="18"/>
        <v>1285.9930663803682</v>
      </c>
      <c r="F46" s="20">
        <f t="shared" ca="1" si="18"/>
        <v>1438.5235269462653</v>
      </c>
      <c r="G46" s="20">
        <f t="shared" ca="1" si="18"/>
        <v>1603.8272502679042</v>
      </c>
      <c r="H46" s="20">
        <f t="shared" ca="1" si="18"/>
        <v>1783.6908367882511</v>
      </c>
      <c r="I46" s="20">
        <f t="shared" ca="1" si="18"/>
        <v>1979.9856300005147</v>
      </c>
      <c r="J46" s="20">
        <f t="shared" ca="1" si="18"/>
        <v>2194.7014701034514</v>
      </c>
      <c r="K46" s="20">
        <f t="shared" ca="1" si="18"/>
        <v>2429.9765765944603</v>
      </c>
      <c r="L46" s="20">
        <f t="shared" ca="1" si="18"/>
        <v>2688.1255072995355</v>
      </c>
    </row>
    <row r="47" spans="1:12" x14ac:dyDescent="0.4">
      <c r="A47" s="15" t="s">
        <v>383</v>
      </c>
      <c r="B47" s="20">
        <f ca="1">$F$8</f>
        <v>11956</v>
      </c>
      <c r="C47" s="20">
        <f t="shared" ref="C47:L47" ca="1" si="19">B47+C46</f>
        <v>12968.274666666666</v>
      </c>
      <c r="D47" s="20">
        <f t="shared" ca="1" si="19"/>
        <v>14112.768133582222</v>
      </c>
      <c r="E47" s="20">
        <f t="shared" ca="1" si="19"/>
        <v>15398.76119996259</v>
      </c>
      <c r="F47" s="20">
        <f t="shared" ca="1" si="19"/>
        <v>16837.284726908856</v>
      </c>
      <c r="G47" s="20">
        <f t="shared" ca="1" si="19"/>
        <v>18441.111977176759</v>
      </c>
      <c r="H47" s="20">
        <f t="shared" ca="1" si="19"/>
        <v>20224.802813965009</v>
      </c>
      <c r="I47" s="20">
        <f t="shared" ca="1" si="19"/>
        <v>22204.788443965524</v>
      </c>
      <c r="J47" s="20">
        <f t="shared" ca="1" si="19"/>
        <v>24399.489914068974</v>
      </c>
      <c r="K47" s="20">
        <f t="shared" ca="1" si="19"/>
        <v>26829.466490663435</v>
      </c>
      <c r="L47" s="20">
        <f t="shared" ca="1" si="19"/>
        <v>29517.591997962969</v>
      </c>
    </row>
    <row r="48" spans="1:12" x14ac:dyDescent="0.4">
      <c r="A48" s="15" t="s">
        <v>398</v>
      </c>
      <c r="B48" s="20"/>
      <c r="C48" s="20">
        <f t="shared" ref="C48:L48" ca="1" si="20">C46-B47*C43</f>
        <v>-214.41093333333333</v>
      </c>
      <c r="D48" s="20">
        <f t="shared" ca="1" si="20"/>
        <v>-186.05151388444438</v>
      </c>
      <c r="E48" s="20">
        <f t="shared" ca="1" si="20"/>
        <v>-161.97694412516762</v>
      </c>
      <c r="F48" s="20">
        <f t="shared" ca="1" si="20"/>
        <v>-141.38937216989643</v>
      </c>
      <c r="G48" s="20">
        <f t="shared" ca="1" si="20"/>
        <v>-123.67816271294441</v>
      </c>
      <c r="H48" s="20">
        <f t="shared" ca="1" si="20"/>
        <v>-108.36725207008431</v>
      </c>
      <c r="I48" s="20">
        <f t="shared" ca="1" si="20"/>
        <v>-95.079138712295162</v>
      </c>
      <c r="J48" s="20">
        <f t="shared" ca="1" si="20"/>
        <v>-83.509824247411416</v>
      </c>
      <c r="K48" s="20">
        <f t="shared" ca="1" si="20"/>
        <v>-73.411088589016344</v>
      </c>
      <c r="L48" s="20">
        <f t="shared" ca="1" si="20"/>
        <v>-64.577754642532909</v>
      </c>
    </row>
    <row r="49" spans="1:19" x14ac:dyDescent="0.4">
      <c r="A49" s="15" t="s">
        <v>399</v>
      </c>
      <c r="B49" s="62">
        <f ca="1">NPV($B$3,C48:L48)</f>
        <v>-841.21556922466743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11114.784430775333</v>
      </c>
      <c r="C51" s="63">
        <f ca="1">B51/(1+$B$3)^($H$8/365)</f>
        <v>12516.990188926244</v>
      </c>
    </row>
    <row r="52" spans="1:19" x14ac:dyDescent="0.4">
      <c r="A52" s="15" t="s">
        <v>363</v>
      </c>
      <c r="B52" s="23">
        <f ca="1">B51*100000000/($B$4-$B$5)</f>
        <v>50475.585195608983</v>
      </c>
      <c r="C52" s="23">
        <f ca="1">B52/(1+$B$3)^($H$8/365)</f>
        <v>56843.424054574833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44196</v>
      </c>
      <c r="C55" s="175">
        <f t="shared" si="22"/>
        <v>44561</v>
      </c>
      <c r="D55" s="175">
        <f t="shared" si="22"/>
        <v>44926</v>
      </c>
      <c r="E55" s="175">
        <f t="shared" si="22"/>
        <v>45291</v>
      </c>
      <c r="F55" s="175">
        <f t="shared" si="22"/>
        <v>45657</v>
      </c>
      <c r="G55" s="175">
        <f t="shared" si="22"/>
        <v>46022</v>
      </c>
      <c r="H55" s="175">
        <f t="shared" si="22"/>
        <v>46387</v>
      </c>
      <c r="I55" s="175">
        <f t="shared" si="22"/>
        <v>46752</v>
      </c>
      <c r="J55" s="180">
        <f t="shared" ref="J55:S55" si="23">C16</f>
        <v>46022</v>
      </c>
      <c r="K55" s="180">
        <f t="shared" si="23"/>
        <v>46387</v>
      </c>
      <c r="L55" s="180">
        <f t="shared" si="23"/>
        <v>46752</v>
      </c>
      <c r="M55" s="180">
        <f t="shared" si="23"/>
        <v>47117</v>
      </c>
      <c r="N55" s="180">
        <f t="shared" si="23"/>
        <v>47482</v>
      </c>
      <c r="O55" s="180">
        <f t="shared" si="23"/>
        <v>47847</v>
      </c>
      <c r="P55" s="180">
        <f t="shared" si="23"/>
        <v>48212</v>
      </c>
      <c r="Q55" s="180">
        <f t="shared" si="23"/>
        <v>48577</v>
      </c>
      <c r="R55" s="180">
        <f t="shared" si="23"/>
        <v>48942</v>
      </c>
      <c r="S55" s="180">
        <f t="shared" si="23"/>
        <v>49307</v>
      </c>
    </row>
    <row r="56" spans="1:19" x14ac:dyDescent="0.4">
      <c r="A56" s="1" t="s">
        <v>368</v>
      </c>
      <c r="B56" s="76">
        <f t="shared" si="22"/>
        <v>325</v>
      </c>
      <c r="C56" s="76">
        <f t="shared" si="22"/>
        <v>524</v>
      </c>
      <c r="D56" s="76">
        <f t="shared" si="22"/>
        <v>1054</v>
      </c>
      <c r="E56" s="76">
        <f t="shared" si="22"/>
        <v>698</v>
      </c>
      <c r="F56" s="76">
        <f t="shared" si="22"/>
        <v>855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958.6719333333333</v>
      </c>
      <c r="K56" s="179">
        <f t="shared" ca="1" si="24"/>
        <v>1035.5414445211111</v>
      </c>
      <c r="L56" s="179">
        <f t="shared" ca="1" si="24"/>
        <v>1118.5746093476289</v>
      </c>
      <c r="M56" s="179">
        <f t="shared" ca="1" si="24"/>
        <v>1208.2656501071529</v>
      </c>
      <c r="N56" s="179">
        <f t="shared" ca="1" si="24"/>
        <v>1305.1484174849113</v>
      </c>
      <c r="O56" s="179">
        <f t="shared" ca="1" si="24"/>
        <v>1409.7995680935765</v>
      </c>
      <c r="P56" s="179">
        <f t="shared" ca="1" si="24"/>
        <v>1522.8419967952132</v>
      </c>
      <c r="Q56" s="179">
        <f t="shared" ca="1" si="24"/>
        <v>1644.9485442382427</v>
      </c>
      <c r="R56" s="179">
        <f t="shared" ca="1" si="24"/>
        <v>1776.8460016770791</v>
      </c>
      <c r="S56" s="179">
        <f t="shared" ca="1" si="24"/>
        <v>1919.3194369115531</v>
      </c>
    </row>
    <row r="57" spans="1:19" x14ac:dyDescent="0.4">
      <c r="A57" s="1" t="s">
        <v>403</v>
      </c>
      <c r="B57" s="76">
        <f t="shared" ref="B57:I57" si="25">E5</f>
        <v>325</v>
      </c>
      <c r="C57" s="76">
        <f t="shared" si="25"/>
        <v>524</v>
      </c>
      <c r="D57" s="76">
        <f t="shared" si="25"/>
        <v>1054</v>
      </c>
      <c r="E57" s="76">
        <f t="shared" si="25"/>
        <v>698</v>
      </c>
      <c r="F57" s="76">
        <f t="shared" si="25"/>
        <v>855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985.47329999999999</v>
      </c>
      <c r="K57" s="179">
        <f t="shared" ca="1" si="26"/>
        <v>1092.8103591352499</v>
      </c>
      <c r="L57" s="179">
        <f t="shared" ca="1" si="26"/>
        <v>1210.5727484406032</v>
      </c>
      <c r="M57" s="179">
        <f t="shared" ca="1" si="26"/>
        <v>1339.90739843863</v>
      </c>
      <c r="N57" s="179">
        <f t="shared" ca="1" si="26"/>
        <v>1482.0672747162666</v>
      </c>
      <c r="O57" s="179">
        <f t="shared" ca="1" si="26"/>
        <v>1638.4242576459103</v>
      </c>
      <c r="P57" s="179">
        <f t="shared" ca="1" si="26"/>
        <v>1810.4829540664011</v>
      </c>
      <c r="Q57" s="179">
        <f t="shared" ca="1" si="26"/>
        <v>1999.8956208627867</v>
      </c>
      <c r="R57" s="179">
        <f t="shared" ca="1" si="26"/>
        <v>2208.4783789329795</v>
      </c>
      <c r="S57" s="179">
        <f t="shared" ca="1" si="26"/>
        <v>2438.2288994881155</v>
      </c>
    </row>
    <row r="58" spans="1:19" x14ac:dyDescent="0.4">
      <c r="A58" s="1" t="s">
        <v>404</v>
      </c>
      <c r="B58" s="76">
        <f t="shared" ref="B58:I58" si="27">E5</f>
        <v>325</v>
      </c>
      <c r="C58" s="76">
        <f t="shared" si="27"/>
        <v>524</v>
      </c>
      <c r="D58" s="76">
        <f t="shared" si="27"/>
        <v>1054</v>
      </c>
      <c r="E58" s="76">
        <f t="shared" si="27"/>
        <v>698</v>
      </c>
      <c r="F58" s="76">
        <f t="shared" si="27"/>
        <v>855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1012.2746666666667</v>
      </c>
      <c r="K58" s="179">
        <f t="shared" ca="1" si="28"/>
        <v>1144.4934669155555</v>
      </c>
      <c r="L58" s="179">
        <f t="shared" ca="1" si="28"/>
        <v>1285.9930663803682</v>
      </c>
      <c r="M58" s="179">
        <f t="shared" ca="1" si="28"/>
        <v>1438.5235269462653</v>
      </c>
      <c r="N58" s="179">
        <f t="shared" ca="1" si="28"/>
        <v>1603.8272502679042</v>
      </c>
      <c r="O58" s="179">
        <f t="shared" ca="1" si="28"/>
        <v>1783.6908367882511</v>
      </c>
      <c r="P58" s="179">
        <f t="shared" ca="1" si="28"/>
        <v>1979.9856300005147</v>
      </c>
      <c r="Q58" s="179">
        <f t="shared" ca="1" si="28"/>
        <v>2194.7014701034514</v>
      </c>
      <c r="R58" s="179">
        <f t="shared" ca="1" si="28"/>
        <v>2429.9765765944603</v>
      </c>
      <c r="S58" s="179">
        <f t="shared" ca="1" si="28"/>
        <v>2688.1255072995355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44196</v>
      </c>
      <c r="C61" s="175">
        <f t="shared" si="29"/>
        <v>44561</v>
      </c>
      <c r="D61" s="175">
        <f t="shared" si="29"/>
        <v>44926</v>
      </c>
      <c r="E61" s="175">
        <f t="shared" si="29"/>
        <v>45291</v>
      </c>
      <c r="F61" s="175">
        <f t="shared" si="29"/>
        <v>45657</v>
      </c>
      <c r="G61" s="175">
        <f t="shared" si="29"/>
        <v>46022</v>
      </c>
      <c r="H61" s="175">
        <f t="shared" si="29"/>
        <v>46387</v>
      </c>
      <c r="I61" s="175">
        <f t="shared" si="29"/>
        <v>46752</v>
      </c>
      <c r="J61" s="175">
        <f t="shared" si="29"/>
        <v>47117</v>
      </c>
      <c r="K61" s="175">
        <f t="shared" si="29"/>
        <v>47482</v>
      </c>
      <c r="L61" s="175">
        <f t="shared" si="29"/>
        <v>47847</v>
      </c>
      <c r="M61" s="175">
        <f t="shared" si="29"/>
        <v>48212</v>
      </c>
      <c r="N61" s="175">
        <f t="shared" si="29"/>
        <v>48577</v>
      </c>
      <c r="O61" s="175">
        <f t="shared" si="29"/>
        <v>48942</v>
      </c>
      <c r="P61" s="175">
        <f t="shared" si="29"/>
        <v>49307</v>
      </c>
    </row>
    <row r="62" spans="1:19" x14ac:dyDescent="0.4">
      <c r="A62" s="1" t="s">
        <v>368</v>
      </c>
      <c r="B62" s="76">
        <f t="shared" ref="B62:P62" si="30">HLOOKUP(B$60,$B$54:$S$58,3,FALSE)</f>
        <v>325</v>
      </c>
      <c r="C62" s="76">
        <f t="shared" si="30"/>
        <v>524</v>
      </c>
      <c r="D62" s="76">
        <f t="shared" si="30"/>
        <v>1054</v>
      </c>
      <c r="E62" s="76">
        <f t="shared" si="30"/>
        <v>698</v>
      </c>
      <c r="F62" s="76">
        <f t="shared" si="30"/>
        <v>855</v>
      </c>
      <c r="G62" s="76">
        <f t="shared" ca="1" si="30"/>
        <v>958.6719333333333</v>
      </c>
      <c r="H62" s="76">
        <f t="shared" ca="1" si="30"/>
        <v>1035.5414445211111</v>
      </c>
      <c r="I62" s="76">
        <f t="shared" ca="1" si="30"/>
        <v>1118.5746093476289</v>
      </c>
      <c r="J62" s="76">
        <f t="shared" ca="1" si="30"/>
        <v>1208.2656501071529</v>
      </c>
      <c r="K62" s="76">
        <f t="shared" ca="1" si="30"/>
        <v>1305.1484174849113</v>
      </c>
      <c r="L62" s="76">
        <f t="shared" ca="1" si="30"/>
        <v>1409.7995680935765</v>
      </c>
      <c r="M62" s="76">
        <f t="shared" ca="1" si="30"/>
        <v>1522.8419967952132</v>
      </c>
      <c r="N62" s="76">
        <f t="shared" ca="1" si="30"/>
        <v>1644.9485442382427</v>
      </c>
      <c r="O62" s="76">
        <f t="shared" ca="1" si="30"/>
        <v>1776.8460016770791</v>
      </c>
      <c r="P62" s="76">
        <f t="shared" ca="1" si="30"/>
        <v>1919.3194369115531</v>
      </c>
    </row>
    <row r="63" spans="1:19" x14ac:dyDescent="0.4">
      <c r="A63" s="1" t="s">
        <v>403</v>
      </c>
      <c r="B63" s="76">
        <f t="shared" ref="B63:P63" si="31">HLOOKUP(B$60,$B$54:$S$58,4,FALSE)</f>
        <v>325</v>
      </c>
      <c r="C63" s="76">
        <f t="shared" si="31"/>
        <v>524</v>
      </c>
      <c r="D63" s="76">
        <f t="shared" si="31"/>
        <v>1054</v>
      </c>
      <c r="E63" s="76">
        <f t="shared" si="31"/>
        <v>698</v>
      </c>
      <c r="F63" s="76">
        <f t="shared" si="31"/>
        <v>855</v>
      </c>
      <c r="G63" s="76">
        <f t="shared" ca="1" si="31"/>
        <v>985.47329999999999</v>
      </c>
      <c r="H63" s="76">
        <f t="shared" ca="1" si="31"/>
        <v>1092.8103591352499</v>
      </c>
      <c r="I63" s="76">
        <f t="shared" ca="1" si="31"/>
        <v>1210.5727484406032</v>
      </c>
      <c r="J63" s="76">
        <f t="shared" ca="1" si="31"/>
        <v>1339.90739843863</v>
      </c>
      <c r="K63" s="76">
        <f t="shared" ca="1" si="31"/>
        <v>1482.0672747162666</v>
      </c>
      <c r="L63" s="76">
        <f t="shared" ca="1" si="31"/>
        <v>1638.4242576459103</v>
      </c>
      <c r="M63" s="76">
        <f t="shared" ca="1" si="31"/>
        <v>1810.4829540664011</v>
      </c>
      <c r="N63" s="76">
        <f t="shared" ca="1" si="31"/>
        <v>1999.8956208627867</v>
      </c>
      <c r="O63" s="76">
        <f t="shared" ca="1" si="31"/>
        <v>2208.4783789329795</v>
      </c>
      <c r="P63" s="76">
        <f t="shared" ca="1" si="31"/>
        <v>2438.2288994881155</v>
      </c>
    </row>
    <row r="64" spans="1:19" x14ac:dyDescent="0.4">
      <c r="A64" s="1" t="s">
        <v>404</v>
      </c>
      <c r="B64" s="76">
        <f t="shared" ref="B64:P64" si="32">HLOOKUP(B$60,$B$54:$S$58,5,FALSE)</f>
        <v>325</v>
      </c>
      <c r="C64" s="76">
        <f t="shared" si="32"/>
        <v>524</v>
      </c>
      <c r="D64" s="76">
        <f t="shared" si="32"/>
        <v>1054</v>
      </c>
      <c r="E64" s="76">
        <f t="shared" si="32"/>
        <v>698</v>
      </c>
      <c r="F64" s="76">
        <f t="shared" si="32"/>
        <v>855</v>
      </c>
      <c r="G64" s="76">
        <f t="shared" ca="1" si="32"/>
        <v>1012.2746666666667</v>
      </c>
      <c r="H64" s="76">
        <f t="shared" ca="1" si="32"/>
        <v>1144.4934669155555</v>
      </c>
      <c r="I64" s="76">
        <f t="shared" ca="1" si="32"/>
        <v>1285.9930663803682</v>
      </c>
      <c r="J64" s="76">
        <f t="shared" ca="1" si="32"/>
        <v>1438.5235269462653</v>
      </c>
      <c r="K64" s="76">
        <f t="shared" ca="1" si="32"/>
        <v>1603.8272502679042</v>
      </c>
      <c r="L64" s="76">
        <f t="shared" ca="1" si="32"/>
        <v>1783.6908367882511</v>
      </c>
      <c r="M64" s="76">
        <f t="shared" ca="1" si="32"/>
        <v>1979.9856300005147</v>
      </c>
      <c r="N64" s="76">
        <f t="shared" ca="1" si="32"/>
        <v>2194.7014701034514</v>
      </c>
      <c r="O64" s="76">
        <f t="shared" ca="1" si="32"/>
        <v>2429.9765765944603</v>
      </c>
      <c r="P64" s="76">
        <f t="shared" ca="1" si="32"/>
        <v>2688.1255072995355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2026-03-20T06:34:00Z</dcterms:modified>
</cp:coreProperties>
</file>