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A28C333C-C831-4FCD-8FF7-56F9A7506933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C88" i="6" s="1"/>
  <c r="D88" i="6" s="1"/>
  <c r="A79" i="6"/>
  <c r="H78" i="6"/>
  <c r="E77" i="6"/>
  <c r="D77" i="6"/>
  <c r="C77" i="6"/>
  <c r="E76" i="6"/>
  <c r="E72" i="6" s="1"/>
  <c r="D76" i="6"/>
  <c r="D72" i="6" s="1"/>
  <c r="C76" i="6"/>
  <c r="C72" i="6" s="1"/>
  <c r="B76" i="6"/>
  <c r="G75" i="6"/>
  <c r="L74" i="6"/>
  <c r="G74" i="6"/>
  <c r="G76" i="6" s="1"/>
  <c r="L73" i="6"/>
  <c r="E73" i="6"/>
  <c r="D73" i="6"/>
  <c r="C73" i="6"/>
  <c r="B73" i="6"/>
  <c r="L72" i="6"/>
  <c r="B72" i="6"/>
  <c r="L71" i="6"/>
  <c r="E71" i="6"/>
  <c r="F71" i="6" s="1"/>
  <c r="L70" i="6"/>
  <c r="C78" i="6" s="1"/>
  <c r="F79" i="6" s="1"/>
  <c r="B92" i="6" s="1"/>
  <c r="D70" i="6"/>
  <c r="C70" i="6" s="1"/>
  <c r="B70" i="6" s="1"/>
  <c r="B66" i="6"/>
  <c r="B55" i="6"/>
  <c r="B51" i="6"/>
  <c r="C51" i="6" s="1"/>
  <c r="D51" i="6" s="1"/>
  <c r="B43" i="6"/>
  <c r="B39" i="6"/>
  <c r="B31" i="6"/>
  <c r="B27" i="6"/>
  <c r="G13" i="6"/>
  <c r="B16" i="6" s="1"/>
  <c r="C16" i="6" s="1"/>
  <c r="B8" i="6"/>
  <c r="B14" i="6" s="1"/>
  <c r="H56" i="5"/>
  <c r="G56" i="5"/>
  <c r="C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7" i="5" s="1"/>
  <c r="J5" i="5"/>
  <c r="G58" i="5" s="1"/>
  <c r="I5" i="5"/>
  <c r="H5" i="5"/>
  <c r="G5" i="5"/>
  <c r="F5" i="5"/>
  <c r="E5" i="5"/>
  <c r="B56" i="5" s="1"/>
  <c r="B62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G33" i="3"/>
  <c r="F33" i="3"/>
  <c r="E33" i="3"/>
  <c r="D24" i="3"/>
  <c r="C24" i="3"/>
  <c r="D23" i="3"/>
  <c r="C23" i="3"/>
  <c r="G22" i="3"/>
  <c r="F22" i="3"/>
  <c r="E22" i="3"/>
  <c r="D22" i="3"/>
  <c r="C22" i="3"/>
  <c r="K21" i="3"/>
  <c r="G21" i="3"/>
  <c r="F21" i="3"/>
  <c r="E21" i="3"/>
  <c r="D21" i="3"/>
  <c r="D33" i="3" s="1"/>
  <c r="C21" i="3"/>
  <c r="C33" i="3" s="1"/>
  <c r="I20" i="3"/>
  <c r="E20" i="3"/>
  <c r="C17" i="3"/>
  <c r="AF10" i="3"/>
  <c r="B116" i="2"/>
  <c r="A11" i="4"/>
  <c r="I7" i="4"/>
  <c r="F70" i="4"/>
  <c r="E61" i="4"/>
  <c r="C50" i="4"/>
  <c r="I30" i="4"/>
  <c r="E75" i="4"/>
  <c r="E70" i="4"/>
  <c r="C61" i="4"/>
  <c r="B55" i="4"/>
  <c r="B50" i="4"/>
  <c r="A30" i="4"/>
  <c r="D75" i="4"/>
  <c r="D70" i="4"/>
  <c r="F59" i="4"/>
  <c r="A55" i="4"/>
  <c r="A44" i="4"/>
  <c r="I29" i="4"/>
  <c r="A13" i="4"/>
  <c r="A12" i="4"/>
  <c r="A59" i="4"/>
  <c r="C54" i="4"/>
  <c r="G38" i="4"/>
  <c r="I8" i="4"/>
  <c r="I58" i="4"/>
  <c r="B54" i="4"/>
  <c r="A38" i="4"/>
  <c r="H58" i="4"/>
  <c r="D52" i="4"/>
  <c r="I37" i="4"/>
  <c r="G58" i="4"/>
  <c r="C52" i="4"/>
  <c r="H37" i="4"/>
  <c r="I20" i="4"/>
  <c r="B73" i="4"/>
  <c r="D58" i="4"/>
  <c r="B52" i="4"/>
  <c r="G37" i="4"/>
  <c r="I19" i="4"/>
  <c r="H72" i="4"/>
  <c r="H62" i="4"/>
  <c r="C58" i="4"/>
  <c r="A52" i="4"/>
  <c r="I36" i="4"/>
  <c r="B72" i="4"/>
  <c r="G62" i="4"/>
  <c r="C57" i="4"/>
  <c r="I51" i="4"/>
  <c r="A36" i="4"/>
  <c r="I18" i="4"/>
  <c r="A72" i="4"/>
  <c r="H61" i="4"/>
  <c r="D56" i="4"/>
  <c r="H51" i="4"/>
  <c r="I35" i="4"/>
  <c r="I17" i="4"/>
  <c r="H70" i="4"/>
  <c r="G61" i="4"/>
  <c r="C56" i="4"/>
  <c r="G51" i="4"/>
  <c r="I31" i="4"/>
  <c r="B4" i="4"/>
  <c r="G70" i="4"/>
  <c r="F61" i="4"/>
  <c r="A56" i="4"/>
  <c r="F51" i="4"/>
  <c r="A31" i="4"/>
  <c r="D86" i="4"/>
  <c r="I5" i="4"/>
  <c r="I6" i="4"/>
  <c r="I21" i="4"/>
  <c r="I16" i="4"/>
  <c r="B15" i="6" l="1"/>
  <c r="C15" i="6" s="1"/>
  <c r="E39" i="3"/>
  <c r="B57" i="5"/>
  <c r="B63" i="5" s="1"/>
  <c r="B52" i="6"/>
  <c r="G57" i="5"/>
  <c r="G39" i="3"/>
  <c r="B17" i="5"/>
  <c r="C17" i="5" s="1"/>
  <c r="D17" i="5" s="1"/>
  <c r="B16" i="4"/>
  <c r="B21" i="4"/>
  <c r="B6" i="4"/>
  <c r="C6" i="3" s="1"/>
  <c r="B5" i="4"/>
  <c r="C5" i="3" s="1"/>
  <c r="C27" i="3" s="1"/>
  <c r="H35" i="3" s="1"/>
  <c r="E43" i="3"/>
  <c r="C4" i="3"/>
  <c r="L5" i="5"/>
  <c r="B17" i="4"/>
  <c r="B18" i="4"/>
  <c r="L3" i="5"/>
  <c r="B19" i="4"/>
  <c r="B20" i="4"/>
  <c r="B8" i="4"/>
  <c r="B10" i="3"/>
  <c r="B11" i="3"/>
  <c r="C7" i="4"/>
  <c r="E5" i="3" s="1"/>
  <c r="B7" i="4"/>
  <c r="B9" i="3"/>
  <c r="J55" i="5"/>
  <c r="D16" i="5"/>
  <c r="C56" i="5"/>
  <c r="C62" i="5" s="1"/>
  <c r="C58" i="5"/>
  <c r="C64" i="5" s="1"/>
  <c r="D56" i="5"/>
  <c r="D62" i="5" s="1"/>
  <c r="D57" i="5"/>
  <c r="D63" i="5" s="1"/>
  <c r="D58" i="5"/>
  <c r="D64" i="5" s="1"/>
  <c r="D43" i="5"/>
  <c r="E56" i="5"/>
  <c r="E62" i="5" s="1"/>
  <c r="E57" i="5"/>
  <c r="E63" i="5" s="1"/>
  <c r="E58" i="5"/>
  <c r="E64" i="5" s="1"/>
  <c r="E88" i="6"/>
  <c r="F56" i="5"/>
  <c r="F62" i="5" s="1"/>
  <c r="F57" i="5"/>
  <c r="F63" i="5" s="1"/>
  <c r="F58" i="5"/>
  <c r="F64" i="5" s="1"/>
  <c r="C57" i="5"/>
  <c r="C63" i="5" s="1"/>
  <c r="J54" i="5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58" i="5"/>
  <c r="B64" i="5" s="1"/>
  <c r="B89" i="6"/>
  <c r="B115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F78" i="6"/>
  <c r="H79" i="6" s="1"/>
  <c r="F39" i="3"/>
  <c r="D30" i="5"/>
  <c r="E51" i="6"/>
  <c r="H39" i="3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41" i="6"/>
  <c r="C39" i="6"/>
  <c r="D114" i="6"/>
  <c r="H58" i="5"/>
  <c r="G73" i="6"/>
  <c r="C101" i="6"/>
  <c r="B11" i="6"/>
  <c r="C14" i="6" s="1"/>
  <c r="B77" i="6"/>
  <c r="D84" i="4"/>
  <c r="B75" i="4"/>
  <c r="I71" i="4"/>
  <c r="H75" i="4"/>
  <c r="C72" i="4"/>
  <c r="E54" i="4"/>
  <c r="I28" i="4"/>
  <c r="E52" i="4"/>
  <c r="A58" i="4"/>
  <c r="A62" i="4"/>
  <c r="D57" i="4"/>
  <c r="I56" i="4"/>
  <c r="B59" i="4"/>
  <c r="C70" i="4"/>
  <c r="C73" i="4"/>
  <c r="H69" i="4"/>
  <c r="E73" i="4"/>
  <c r="B68" i="4"/>
  <c r="G52" i="4"/>
  <c r="D62" i="4"/>
  <c r="D50" i="4"/>
  <c r="H55" i="4"/>
  <c r="A60" i="4"/>
  <c r="C55" i="4"/>
  <c r="G53" i="4"/>
  <c r="A70" i="4"/>
  <c r="C75" i="4"/>
  <c r="E71" i="4"/>
  <c r="B76" i="4"/>
  <c r="B71" i="4"/>
  <c r="D73" i="4"/>
  <c r="A51" i="4"/>
  <c r="F60" i="4"/>
  <c r="C39" i="4"/>
  <c r="E53" i="4"/>
  <c r="G57" i="4"/>
  <c r="A53" i="4"/>
  <c r="A42" i="4"/>
  <c r="E74" i="4"/>
  <c r="I74" i="4"/>
  <c r="B61" i="4"/>
  <c r="I59" i="4"/>
  <c r="D69" i="4"/>
  <c r="E72" i="4"/>
  <c r="E57" i="4"/>
  <c r="E51" i="4"/>
  <c r="D55" i="4"/>
  <c r="G56" i="4"/>
  <c r="C84" i="4"/>
  <c r="A57" i="4"/>
  <c r="B39" i="4"/>
  <c r="E58" i="4"/>
  <c r="G34" i="4"/>
  <c r="I76" i="4"/>
  <c r="A74" i="4"/>
  <c r="C71" i="4"/>
  <c r="F75" i="4"/>
  <c r="B56" i="4"/>
  <c r="F54" i="4"/>
  <c r="C60" i="4"/>
  <c r="H59" i="4"/>
  <c r="D54" i="4"/>
  <c r="F69" i="4"/>
  <c r="I73" i="4"/>
  <c r="F68" i="4"/>
  <c r="I66" i="4"/>
  <c r="I39" i="4"/>
  <c r="F58" i="4"/>
  <c r="H34" i="4"/>
  <c r="D51" i="4"/>
  <c r="E55" i="4"/>
  <c r="F50" i="4"/>
  <c r="I32" i="4"/>
  <c r="A40" i="4"/>
  <c r="A75" i="4"/>
  <c r="H71" i="4"/>
  <c r="G72" i="4"/>
  <c r="B74" i="4"/>
  <c r="A37" i="4"/>
  <c r="F56" i="4"/>
  <c r="A29" i="4"/>
  <c r="G39" i="4"/>
  <c r="C53" i="4"/>
  <c r="A39" i="4"/>
  <c r="H60" i="4"/>
  <c r="H54" i="4"/>
  <c r="A71" i="4"/>
  <c r="E69" i="4"/>
  <c r="I69" i="4"/>
  <c r="H32" i="4"/>
  <c r="G54" i="4"/>
  <c r="F62" i="4"/>
  <c r="A35" i="4"/>
  <c r="B51" i="4"/>
  <c r="G33" i="4"/>
  <c r="H56" i="4"/>
  <c r="C59" i="4"/>
  <c r="B69" i="4"/>
  <c r="A76" i="4"/>
  <c r="F76" i="4"/>
  <c r="I24" i="4"/>
  <c r="F52" i="4"/>
  <c r="D60" i="4"/>
  <c r="I27" i="4"/>
  <c r="E39" i="4"/>
  <c r="A61" i="4"/>
  <c r="I52" i="4"/>
  <c r="B70" i="4"/>
  <c r="H76" i="4"/>
  <c r="H73" i="4"/>
  <c r="F72" i="4"/>
  <c r="A68" i="4"/>
  <c r="I62" i="4"/>
  <c r="E50" i="4"/>
  <c r="B58" i="4"/>
  <c r="B62" i="4"/>
  <c r="I33" i="4"/>
  <c r="B57" i="4"/>
  <c r="I41" i="4"/>
  <c r="F74" i="4"/>
  <c r="G71" i="4"/>
  <c r="E68" i="4"/>
  <c r="C74" i="4"/>
  <c r="D39" i="4"/>
  <c r="I55" i="4"/>
  <c r="B60" i="4"/>
  <c r="A54" i="4"/>
  <c r="G32" i="4"/>
  <c r="I72" i="4"/>
  <c r="D76" i="4"/>
  <c r="D59" i="4"/>
  <c r="I34" i="4"/>
  <c r="F53" i="4"/>
  <c r="H57" i="4"/>
  <c r="F57" i="4"/>
  <c r="A43" i="4"/>
  <c r="G60" i="4"/>
  <c r="E76" i="4"/>
  <c r="I70" i="4"/>
  <c r="G73" i="4"/>
  <c r="D74" i="4"/>
  <c r="G29" i="4"/>
  <c r="F55" i="4"/>
  <c r="H35" i="4"/>
  <c r="H74" i="4"/>
  <c r="A69" i="4"/>
  <c r="F71" i="4"/>
  <c r="D68" i="4"/>
  <c r="G55" i="4"/>
  <c r="C62" i="4"/>
  <c r="H39" i="4"/>
  <c r="D53" i="4"/>
  <c r="B53" i="4"/>
  <c r="H52" i="4"/>
  <c r="A73" i="4"/>
  <c r="G76" i="4"/>
  <c r="C69" i="4"/>
  <c r="G75" i="4"/>
  <c r="D61" i="4"/>
  <c r="H53" i="4"/>
  <c r="E60" i="4"/>
  <c r="G35" i="4"/>
  <c r="C51" i="4"/>
  <c r="I53" i="4"/>
  <c r="A41" i="4"/>
  <c r="H29" i="4"/>
  <c r="D71" i="4"/>
  <c r="G74" i="4"/>
  <c r="I75" i="4"/>
  <c r="D72" i="4"/>
  <c r="G59" i="4"/>
  <c r="I43" i="4"/>
  <c r="A28" i="4"/>
  <c r="F39" i="4"/>
  <c r="H33" i="4"/>
  <c r="I42" i="4"/>
  <c r="A32" i="4"/>
  <c r="I40" i="4"/>
  <c r="G69" i="4"/>
  <c r="C76" i="4"/>
  <c r="F73" i="4"/>
  <c r="C68" i="4"/>
  <c r="I57" i="4"/>
  <c r="I38" i="4"/>
  <c r="E56" i="4"/>
  <c r="E62" i="4"/>
  <c r="I61" i="4"/>
  <c r="A33" i="4"/>
  <c r="H38" i="4"/>
  <c r="I54" i="4"/>
  <c r="A34" i="4"/>
  <c r="A27" i="4"/>
  <c r="I60" i="4"/>
  <c r="E59" i="4"/>
  <c r="B53" i="6" l="1"/>
  <c r="C52" i="6"/>
  <c r="L2" i="5"/>
  <c r="E24" i="3"/>
  <c r="G36" i="3"/>
  <c r="B37" i="3"/>
  <c r="K60" i="4"/>
  <c r="E36" i="3"/>
  <c r="F36" i="3"/>
  <c r="K69" i="4"/>
  <c r="K51" i="4"/>
  <c r="K61" i="4" s="1"/>
  <c r="B36" i="3"/>
  <c r="H36" i="3"/>
  <c r="H21" i="3"/>
  <c r="K50" i="4"/>
  <c r="J21" i="3" s="1"/>
  <c r="M4" i="5"/>
  <c r="K68" i="4"/>
  <c r="C36" i="3"/>
  <c r="D41" i="3"/>
  <c r="B38" i="3"/>
  <c r="D36" i="3"/>
  <c r="K55" i="4"/>
  <c r="K72" i="4"/>
  <c r="K75" i="4"/>
  <c r="E41" i="3"/>
  <c r="F51" i="6"/>
  <c r="E30" i="5"/>
  <c r="E6" i="3"/>
  <c r="B5" i="5"/>
  <c r="C115" i="6"/>
  <c r="B116" i="6"/>
  <c r="B90" i="6"/>
  <c r="C89" i="6"/>
  <c r="E114" i="6"/>
  <c r="E17" i="5"/>
  <c r="C29" i="6"/>
  <c r="C30" i="6" s="1"/>
  <c r="D27" i="6"/>
  <c r="I56" i="5"/>
  <c r="I58" i="5"/>
  <c r="I57" i="5"/>
  <c r="C41" i="6"/>
  <c r="C42" i="6" s="1"/>
  <c r="D39" i="6"/>
  <c r="B29" i="6"/>
  <c r="F88" i="6"/>
  <c r="K55" i="5"/>
  <c r="H61" i="5" s="1"/>
  <c r="E16" i="5"/>
  <c r="E43" i="5"/>
  <c r="D101" i="6"/>
  <c r="C103" i="6"/>
  <c r="C104" i="6" s="1"/>
  <c r="B103" i="6"/>
  <c r="K54" i="5"/>
  <c r="G61" i="5"/>
  <c r="B4" i="5"/>
  <c r="E4" i="3"/>
  <c r="D52" i="6" l="1"/>
  <c r="C53" i="6"/>
  <c r="C54" i="6" s="1"/>
  <c r="E101" i="6"/>
  <c r="D103" i="6"/>
  <c r="L55" i="5"/>
  <c r="F16" i="5"/>
  <c r="K76" i="4"/>
  <c r="G88" i="6"/>
  <c r="AF7" i="3"/>
  <c r="D115" i="6"/>
  <c r="C116" i="6"/>
  <c r="C117" i="6" s="1"/>
  <c r="D41" i="6"/>
  <c r="E39" i="6"/>
  <c r="L54" i="5"/>
  <c r="C44" i="6"/>
  <c r="C43" i="6"/>
  <c r="F30" i="5"/>
  <c r="N21" i="3"/>
  <c r="L21" i="3"/>
  <c r="M21" i="3" s="1"/>
  <c r="C106" i="6"/>
  <c r="C105" i="6"/>
  <c r="G51" i="6"/>
  <c r="F43" i="5"/>
  <c r="D29" i="6"/>
  <c r="E27" i="6"/>
  <c r="C32" i="6"/>
  <c r="C31" i="6"/>
  <c r="M5" i="5"/>
  <c r="K78" i="4"/>
  <c r="M3" i="5"/>
  <c r="F17" i="5"/>
  <c r="F114" i="6"/>
  <c r="D89" i="6"/>
  <c r="C90" i="6"/>
  <c r="C91" i="6" s="1"/>
  <c r="C56" i="6" l="1"/>
  <c r="C55" i="6"/>
  <c r="E52" i="6"/>
  <c r="D53" i="6"/>
  <c r="D42" i="6"/>
  <c r="D44" i="6" s="1"/>
  <c r="M54" i="5"/>
  <c r="D30" i="6"/>
  <c r="D32" i="6" s="1"/>
  <c r="E41" i="6"/>
  <c r="F39" i="6"/>
  <c r="F101" i="6"/>
  <c r="E103" i="6"/>
  <c r="I61" i="5"/>
  <c r="C119" i="6"/>
  <c r="C118" i="6"/>
  <c r="E29" i="6"/>
  <c r="F27" i="6"/>
  <c r="E115" i="6"/>
  <c r="D116" i="6"/>
  <c r="C93" i="6"/>
  <c r="C92" i="6"/>
  <c r="E89" i="6"/>
  <c r="D90" i="6"/>
  <c r="G43" i="5"/>
  <c r="H88" i="6"/>
  <c r="G114" i="6"/>
  <c r="H51" i="6"/>
  <c r="D104" i="6"/>
  <c r="D106" i="6" s="1"/>
  <c r="G17" i="5"/>
  <c r="G16" i="5"/>
  <c r="M55" i="5"/>
  <c r="J61" i="5" s="1"/>
  <c r="M2" i="5"/>
  <c r="H22" i="3"/>
  <c r="G30" i="5"/>
  <c r="D105" i="6" l="1"/>
  <c r="D54" i="6"/>
  <c r="F52" i="6"/>
  <c r="E53" i="6"/>
  <c r="G101" i="6"/>
  <c r="F103" i="6"/>
  <c r="F115" i="6"/>
  <c r="E116" i="6"/>
  <c r="I88" i="6"/>
  <c r="H16" i="5"/>
  <c r="N55" i="5"/>
  <c r="D117" i="6"/>
  <c r="D119" i="6" s="1"/>
  <c r="D118" i="6"/>
  <c r="D31" i="6"/>
  <c r="H17" i="5"/>
  <c r="H43" i="5"/>
  <c r="F89" i="6"/>
  <c r="E90" i="6"/>
  <c r="N54" i="5"/>
  <c r="H114" i="6"/>
  <c r="F41" i="6"/>
  <c r="G39" i="6"/>
  <c r="G27" i="6"/>
  <c r="F29" i="6"/>
  <c r="H30" i="5"/>
  <c r="E104" i="6"/>
  <c r="E106" i="6" s="1"/>
  <c r="J22" i="3"/>
  <c r="I22" i="3"/>
  <c r="G24" i="3" s="1"/>
  <c r="AF6" i="3" s="1"/>
  <c r="F24" i="3"/>
  <c r="AF8" i="3" s="1"/>
  <c r="D20" i="3" s="1"/>
  <c r="B7" i="5" s="1"/>
  <c r="I21" i="3"/>
  <c r="AF9" i="3"/>
  <c r="D91" i="6"/>
  <c r="D93" i="6" s="1"/>
  <c r="D43" i="6"/>
  <c r="I51" i="6"/>
  <c r="D56" i="6" l="1"/>
  <c r="D55" i="6"/>
  <c r="G52" i="6"/>
  <c r="F53" i="6"/>
  <c r="G41" i="6"/>
  <c r="H39" i="6"/>
  <c r="E117" i="6"/>
  <c r="E119" i="6" s="1"/>
  <c r="E42" i="6"/>
  <c r="E44" i="6" s="1"/>
  <c r="D92" i="6"/>
  <c r="I16" i="5"/>
  <c r="O55" i="5"/>
  <c r="O54" i="5"/>
  <c r="P54" i="5" s="1"/>
  <c r="Q54" i="5" s="1"/>
  <c r="R54" i="5" s="1"/>
  <c r="S54" i="5" s="1"/>
  <c r="L61" i="5"/>
  <c r="K61" i="5"/>
  <c r="B18" i="5"/>
  <c r="F8" i="5"/>
  <c r="B44" i="5"/>
  <c r="B31" i="5"/>
  <c r="G89" i="6"/>
  <c r="F90" i="6"/>
  <c r="J51" i="6"/>
  <c r="H27" i="6"/>
  <c r="G29" i="6"/>
  <c r="E30" i="6"/>
  <c r="E32" i="6" s="1"/>
  <c r="I114" i="6"/>
  <c r="I43" i="5"/>
  <c r="J88" i="6"/>
  <c r="I17" i="5"/>
  <c r="G115" i="6"/>
  <c r="F116" i="6"/>
  <c r="E105" i="6"/>
  <c r="H101" i="6"/>
  <c r="G103" i="6"/>
  <c r="I30" i="5"/>
  <c r="E55" i="6" l="1"/>
  <c r="E54" i="6"/>
  <c r="E56" i="6" s="1"/>
  <c r="H52" i="6"/>
  <c r="G53" i="6"/>
  <c r="B34" i="5"/>
  <c r="B21" i="5"/>
  <c r="B47" i="5"/>
  <c r="K88" i="6"/>
  <c r="C18" i="5"/>
  <c r="B19" i="5"/>
  <c r="E43" i="6"/>
  <c r="J43" i="5"/>
  <c r="E118" i="6"/>
  <c r="K51" i="6"/>
  <c r="J17" i="5"/>
  <c r="J114" i="6"/>
  <c r="J30" i="5"/>
  <c r="E31" i="6"/>
  <c r="H103" i="6"/>
  <c r="I101" i="6"/>
  <c r="I27" i="6"/>
  <c r="H29" i="6"/>
  <c r="F104" i="6"/>
  <c r="F106" i="6" s="1"/>
  <c r="H115" i="6"/>
  <c r="G116" i="6"/>
  <c r="H89" i="6"/>
  <c r="G90" i="6"/>
  <c r="J16" i="5"/>
  <c r="P55" i="5"/>
  <c r="M61" i="5" s="1"/>
  <c r="C31" i="5"/>
  <c r="B32" i="5"/>
  <c r="B45" i="5"/>
  <c r="C44" i="5"/>
  <c r="E91" i="6"/>
  <c r="E93" i="6" s="1"/>
  <c r="H41" i="6"/>
  <c r="I39" i="6"/>
  <c r="E92" i="6" l="1"/>
  <c r="I52" i="6"/>
  <c r="H53" i="6"/>
  <c r="F54" i="6"/>
  <c r="F56" i="6" s="1"/>
  <c r="F55" i="6"/>
  <c r="C45" i="5"/>
  <c r="D44" i="5"/>
  <c r="C46" i="5"/>
  <c r="C32" i="5"/>
  <c r="C33" i="5" s="1"/>
  <c r="C34" i="5" s="1"/>
  <c r="D31" i="5"/>
  <c r="I29" i="6"/>
  <c r="J27" i="6"/>
  <c r="J101" i="6"/>
  <c r="I103" i="6"/>
  <c r="F30" i="6"/>
  <c r="F32" i="6" s="1"/>
  <c r="I41" i="6"/>
  <c r="J39" i="6"/>
  <c r="F42" i="6"/>
  <c r="F44" i="6" s="1"/>
  <c r="K30" i="5"/>
  <c r="I89" i="6"/>
  <c r="H90" i="6"/>
  <c r="K114" i="6"/>
  <c r="C19" i="5"/>
  <c r="C20" i="5" s="1"/>
  <c r="D18" i="5"/>
  <c r="L88" i="6"/>
  <c r="L51" i="6"/>
  <c r="K43" i="5"/>
  <c r="K16" i="5"/>
  <c r="Q55" i="5"/>
  <c r="N61" i="5" s="1"/>
  <c r="F91" i="6"/>
  <c r="F93" i="6" s="1"/>
  <c r="I115" i="6"/>
  <c r="H116" i="6"/>
  <c r="K17" i="5"/>
  <c r="F105" i="6"/>
  <c r="F117" i="6"/>
  <c r="F119" i="6" s="1"/>
  <c r="F118" i="6" l="1"/>
  <c r="G54" i="6"/>
  <c r="G56" i="6" s="1"/>
  <c r="J52" i="6"/>
  <c r="I53" i="6"/>
  <c r="F43" i="6"/>
  <c r="G42" i="6" s="1"/>
  <c r="G44" i="6" s="1"/>
  <c r="G104" i="6"/>
  <c r="G106" i="6" s="1"/>
  <c r="G105" i="6"/>
  <c r="L43" i="5"/>
  <c r="J56" i="5"/>
  <c r="G62" i="5" s="1"/>
  <c r="C22" i="5"/>
  <c r="J41" i="6"/>
  <c r="K39" i="6"/>
  <c r="F31" i="6"/>
  <c r="L17" i="5"/>
  <c r="K101" i="6"/>
  <c r="J103" i="6"/>
  <c r="D19" i="5"/>
  <c r="E18" i="5"/>
  <c r="J29" i="6"/>
  <c r="K27" i="6"/>
  <c r="J115" i="6"/>
  <c r="I116" i="6"/>
  <c r="F92" i="6"/>
  <c r="L114" i="6"/>
  <c r="D32" i="5"/>
  <c r="E31" i="5"/>
  <c r="D33" i="5"/>
  <c r="D34" i="5" s="1"/>
  <c r="J89" i="6"/>
  <c r="I90" i="6"/>
  <c r="J57" i="5"/>
  <c r="G63" i="5" s="1"/>
  <c r="C35" i="5"/>
  <c r="J58" i="5"/>
  <c r="G64" i="5" s="1"/>
  <c r="C48" i="5"/>
  <c r="G117" i="6"/>
  <c r="G119" i="6" s="1"/>
  <c r="C47" i="5"/>
  <c r="L30" i="5"/>
  <c r="L16" i="5"/>
  <c r="R55" i="5"/>
  <c r="D45" i="5"/>
  <c r="E44" i="5"/>
  <c r="C21" i="5"/>
  <c r="K52" i="6" l="1"/>
  <c r="J53" i="6"/>
  <c r="G55" i="6"/>
  <c r="G43" i="6"/>
  <c r="H104" i="6"/>
  <c r="H106" i="6" s="1"/>
  <c r="H105" i="6"/>
  <c r="E32" i="5"/>
  <c r="E33" i="5" s="1"/>
  <c r="F31" i="5"/>
  <c r="G30" i="6"/>
  <c r="G32" i="6" s="1"/>
  <c r="D46" i="5"/>
  <c r="D47" i="5"/>
  <c r="K41" i="6"/>
  <c r="L39" i="6"/>
  <c r="L41" i="6" s="1"/>
  <c r="G118" i="6"/>
  <c r="D20" i="5"/>
  <c r="D21" i="5" s="1"/>
  <c r="K29" i="6"/>
  <c r="L27" i="6"/>
  <c r="L29" i="6" s="1"/>
  <c r="E45" i="5"/>
  <c r="F44" i="5"/>
  <c r="S55" i="5"/>
  <c r="L101" i="6"/>
  <c r="L103" i="6" s="1"/>
  <c r="K103" i="6"/>
  <c r="K89" i="6"/>
  <c r="J90" i="6"/>
  <c r="K57" i="5"/>
  <c r="H63" i="5" s="1"/>
  <c r="D35" i="5"/>
  <c r="G91" i="6"/>
  <c r="G93" i="6" s="1"/>
  <c r="K115" i="6"/>
  <c r="J116" i="6"/>
  <c r="E19" i="5"/>
  <c r="F18" i="5"/>
  <c r="H54" i="6" l="1"/>
  <c r="H56" i="6" s="1"/>
  <c r="H55" i="6"/>
  <c r="L52" i="6"/>
  <c r="L53" i="6" s="1"/>
  <c r="K53" i="6"/>
  <c r="L57" i="5"/>
  <c r="I63" i="5" s="1"/>
  <c r="E35" i="5"/>
  <c r="E34" i="5"/>
  <c r="E20" i="5"/>
  <c r="F19" i="5"/>
  <c r="G18" i="5"/>
  <c r="E46" i="5"/>
  <c r="E47" i="5"/>
  <c r="K58" i="5"/>
  <c r="H64" i="5" s="1"/>
  <c r="D48" i="5"/>
  <c r="L115" i="6"/>
  <c r="L116" i="6" s="1"/>
  <c r="K116" i="6"/>
  <c r="G31" i="6"/>
  <c r="I104" i="6"/>
  <c r="I106" i="6" s="1"/>
  <c r="L89" i="6"/>
  <c r="L90" i="6" s="1"/>
  <c r="K90" i="6"/>
  <c r="H117" i="6"/>
  <c r="H119" i="6" s="1"/>
  <c r="F32" i="5"/>
  <c r="G31" i="5"/>
  <c r="G92" i="6"/>
  <c r="F45" i="5"/>
  <c r="G44" i="5"/>
  <c r="K56" i="5"/>
  <c r="H62" i="5" s="1"/>
  <c r="D22" i="5"/>
  <c r="H43" i="6"/>
  <c r="H42" i="6"/>
  <c r="H44" i="6" s="1"/>
  <c r="H118" i="6" l="1"/>
  <c r="I105" i="6"/>
  <c r="I54" i="6"/>
  <c r="I56" i="6" s="1"/>
  <c r="J104" i="6"/>
  <c r="J106" i="6" s="1"/>
  <c r="H30" i="6"/>
  <c r="H32" i="6" s="1"/>
  <c r="H91" i="6"/>
  <c r="H93" i="6" s="1"/>
  <c r="H92" i="6"/>
  <c r="G19" i="5"/>
  <c r="H18" i="5"/>
  <c r="L56" i="5"/>
  <c r="I62" i="5" s="1"/>
  <c r="E22" i="5"/>
  <c r="E21" i="5"/>
  <c r="I42" i="6"/>
  <c r="I44" i="6" s="1"/>
  <c r="F46" i="5"/>
  <c r="F47" i="5"/>
  <c r="I117" i="6"/>
  <c r="I119" i="6" s="1"/>
  <c r="G45" i="5"/>
  <c r="H44" i="5"/>
  <c r="G32" i="5"/>
  <c r="H31" i="5"/>
  <c r="E48" i="5"/>
  <c r="L58" i="5"/>
  <c r="I64" i="5" s="1"/>
  <c r="F33" i="5"/>
  <c r="F34" i="5"/>
  <c r="I55" i="6" l="1"/>
  <c r="H31" i="6"/>
  <c r="I118" i="6"/>
  <c r="J117" i="6"/>
  <c r="J119" i="6" s="1"/>
  <c r="I30" i="6"/>
  <c r="I32" i="6" s="1"/>
  <c r="G46" i="5"/>
  <c r="G47" i="5"/>
  <c r="M58" i="5"/>
  <c r="J64" i="5" s="1"/>
  <c r="F48" i="5"/>
  <c r="J105" i="6"/>
  <c r="I43" i="6"/>
  <c r="F20" i="5"/>
  <c r="F21" i="5" s="1"/>
  <c r="G33" i="5"/>
  <c r="M57" i="5"/>
  <c r="J63" i="5" s="1"/>
  <c r="F35" i="5"/>
  <c r="H32" i="5"/>
  <c r="I31" i="5"/>
  <c r="H45" i="5"/>
  <c r="I44" i="5"/>
  <c r="H19" i="5"/>
  <c r="I18" i="5"/>
  <c r="I91" i="6"/>
  <c r="I93" i="6" s="1"/>
  <c r="I31" i="6" l="1"/>
  <c r="J54" i="6"/>
  <c r="J56" i="6" s="1"/>
  <c r="J55" i="6"/>
  <c r="N57" i="5"/>
  <c r="K63" i="5" s="1"/>
  <c r="G35" i="5"/>
  <c r="G34" i="5"/>
  <c r="G20" i="5"/>
  <c r="M56" i="5"/>
  <c r="J62" i="5" s="1"/>
  <c r="F22" i="5"/>
  <c r="J42" i="6"/>
  <c r="J44" i="6" s="1"/>
  <c r="I92" i="6"/>
  <c r="K104" i="6"/>
  <c r="K106" i="6" s="1"/>
  <c r="I19" i="5"/>
  <c r="J18" i="5"/>
  <c r="I45" i="5"/>
  <c r="J44" i="5"/>
  <c r="H46" i="5"/>
  <c r="H47" i="5" s="1"/>
  <c r="N58" i="5"/>
  <c r="K64" i="5" s="1"/>
  <c r="G48" i="5"/>
  <c r="I32" i="5"/>
  <c r="J31" i="5"/>
  <c r="J30" i="6"/>
  <c r="J32" i="6" s="1"/>
  <c r="J118" i="6"/>
  <c r="K54" i="6" l="1"/>
  <c r="K56" i="6" s="1"/>
  <c r="K55" i="6"/>
  <c r="L54" i="6" s="1"/>
  <c r="L56" i="6" s="1"/>
  <c r="B57" i="6" s="1"/>
  <c r="B58" i="6" s="1"/>
  <c r="B23" i="6" s="1"/>
  <c r="I46" i="5"/>
  <c r="I47" i="5" s="1"/>
  <c r="B59" i="6"/>
  <c r="C23" i="6" s="1"/>
  <c r="J91" i="6"/>
  <c r="J93" i="6" s="1"/>
  <c r="L55" i="6"/>
  <c r="J43" i="6"/>
  <c r="J31" i="6"/>
  <c r="N56" i="5"/>
  <c r="K62" i="5" s="1"/>
  <c r="G22" i="5"/>
  <c r="J19" i="5"/>
  <c r="K18" i="5"/>
  <c r="K117" i="6"/>
  <c r="K119" i="6" s="1"/>
  <c r="H33" i="5"/>
  <c r="H34" i="5" s="1"/>
  <c r="J45" i="5"/>
  <c r="K44" i="5"/>
  <c r="K105" i="6"/>
  <c r="J32" i="5"/>
  <c r="K31" i="5"/>
  <c r="G21" i="5"/>
  <c r="O58" i="5"/>
  <c r="H48" i="5"/>
  <c r="J46" i="5" l="1"/>
  <c r="J47" i="5" s="1"/>
  <c r="I33" i="5"/>
  <c r="K118" i="6"/>
  <c r="K30" i="6"/>
  <c r="K32" i="6" s="1"/>
  <c r="H20" i="5"/>
  <c r="H21" i="5" s="1"/>
  <c r="K32" i="5"/>
  <c r="L31" i="5"/>
  <c r="L32" i="5" s="1"/>
  <c r="J92" i="6"/>
  <c r="K42" i="6"/>
  <c r="K44" i="6" s="1"/>
  <c r="L104" i="6"/>
  <c r="L106" i="6" s="1"/>
  <c r="B107" i="6" s="1"/>
  <c r="B109" i="6" s="1"/>
  <c r="K45" i="5"/>
  <c r="L44" i="5"/>
  <c r="L45" i="5" s="1"/>
  <c r="K19" i="5"/>
  <c r="L18" i="5"/>
  <c r="L19" i="5" s="1"/>
  <c r="H35" i="5"/>
  <c r="O57" i="5"/>
  <c r="P58" i="5"/>
  <c r="I48" i="5"/>
  <c r="I20" i="5" l="1"/>
  <c r="B110" i="6"/>
  <c r="C110" i="6" s="1"/>
  <c r="C83" i="6" s="1"/>
  <c r="C109" i="6"/>
  <c r="B83" i="6" s="1"/>
  <c r="L105" i="6"/>
  <c r="K43" i="6"/>
  <c r="K91" i="6"/>
  <c r="K93" i="6" s="1"/>
  <c r="P57" i="5"/>
  <c r="M63" i="5" s="1"/>
  <c r="I35" i="5"/>
  <c r="I34" i="5"/>
  <c r="H22" i="5"/>
  <c r="O56" i="5"/>
  <c r="L62" i="5" s="1"/>
  <c r="K31" i="6"/>
  <c r="L117" i="6"/>
  <c r="L119" i="6" s="1"/>
  <c r="B120" i="6" s="1"/>
  <c r="B122" i="6" s="1"/>
  <c r="L118" i="6"/>
  <c r="K46" i="5"/>
  <c r="Q58" i="5"/>
  <c r="J48" i="5"/>
  <c r="B123" i="6" l="1"/>
  <c r="C123" i="6" s="1"/>
  <c r="C84" i="6" s="1"/>
  <c r="C122" i="6"/>
  <c r="B84" i="6" s="1"/>
  <c r="L30" i="6"/>
  <c r="L32" i="6" s="1"/>
  <c r="B33" i="6" s="1"/>
  <c r="B34" i="6" s="1"/>
  <c r="L31" i="6"/>
  <c r="K92" i="6"/>
  <c r="L42" i="6"/>
  <c r="L44" i="6" s="1"/>
  <c r="B45" i="6" s="1"/>
  <c r="B46" i="6" s="1"/>
  <c r="I22" i="5"/>
  <c r="P56" i="5"/>
  <c r="J33" i="5"/>
  <c r="K48" i="5"/>
  <c r="R58" i="5"/>
  <c r="K47" i="5"/>
  <c r="I21" i="5"/>
  <c r="J20" i="5" l="1"/>
  <c r="L46" i="5"/>
  <c r="J35" i="5"/>
  <c r="Q57" i="5"/>
  <c r="N63" i="5" s="1"/>
  <c r="J34" i="5"/>
  <c r="L43" i="6"/>
  <c r="B35" i="6"/>
  <c r="C21" i="6" s="1"/>
  <c r="B21" i="6"/>
  <c r="B47" i="6"/>
  <c r="C22" i="6" s="1"/>
  <c r="B22" i="6"/>
  <c r="L91" i="6"/>
  <c r="L93" i="6" s="1"/>
  <c r="B94" i="6" s="1"/>
  <c r="B96" i="6" s="1"/>
  <c r="L92" i="6"/>
  <c r="K33" i="5" l="1"/>
  <c r="B97" i="6"/>
  <c r="C97" i="6" s="1"/>
  <c r="C82" i="6" s="1"/>
  <c r="C96" i="6"/>
  <c r="B82" i="6" s="1"/>
  <c r="S58" i="5"/>
  <c r="L48" i="5"/>
  <c r="B49" i="5" s="1"/>
  <c r="B51" i="5" s="1"/>
  <c r="L47" i="5"/>
  <c r="J22" i="5"/>
  <c r="Q56" i="5"/>
  <c r="N62" i="5" s="1"/>
  <c r="J21" i="5"/>
  <c r="K20" i="5" l="1"/>
  <c r="B52" i="5"/>
  <c r="C52" i="5" s="1"/>
  <c r="C13" i="5" s="1"/>
  <c r="F30" i="3" s="1"/>
  <c r="C51" i="5"/>
  <c r="B13" i="5" s="1"/>
  <c r="E13" i="5" s="1"/>
  <c r="G30" i="3" s="1"/>
  <c r="L64" i="5"/>
  <c r="M64" i="5"/>
  <c r="N64" i="5"/>
  <c r="P61" i="5"/>
  <c r="P64" i="5"/>
  <c r="O64" i="5"/>
  <c r="L63" i="5"/>
  <c r="O61" i="5"/>
  <c r="M62" i="5"/>
  <c r="K35" i="5"/>
  <c r="R57" i="5"/>
  <c r="O63" i="5" s="1"/>
  <c r="K34" i="5"/>
  <c r="L33" i="5" l="1"/>
  <c r="L34" i="5" s="1"/>
  <c r="R56" i="5"/>
  <c r="O62" i="5" s="1"/>
  <c r="K22" i="5"/>
  <c r="K21" i="5"/>
  <c r="L20" i="5" l="1"/>
  <c r="L21" i="5"/>
  <c r="L35" i="5"/>
  <c r="B36" i="5" s="1"/>
  <c r="B38" i="5" s="1"/>
  <c r="S57" i="5"/>
  <c r="P63" i="5" s="1"/>
  <c r="B39" i="5" l="1"/>
  <c r="C39" i="5" s="1"/>
  <c r="C12" i="5" s="1"/>
  <c r="F29" i="3" s="1"/>
  <c r="C38" i="5"/>
  <c r="B12" i="5" s="1"/>
  <c r="E12" i="5" s="1"/>
  <c r="G29" i="3" s="1"/>
  <c r="L22" i="5"/>
  <c r="B23" i="5" s="1"/>
  <c r="B25" i="5" s="1"/>
  <c r="S56" i="5"/>
  <c r="P62" i="5" s="1"/>
  <c r="B26" i="5" l="1"/>
  <c r="C26" i="5" s="1"/>
  <c r="C11" i="5" s="1"/>
  <c r="F28" i="3" s="1"/>
  <c r="F31" i="3" s="1"/>
  <c r="C25" i="5"/>
  <c r="B11" i="5" s="1"/>
  <c r="E11" i="5" s="1"/>
  <c r="G28" i="3" s="1"/>
  <c r="C30" i="3" l="1"/>
  <c r="G31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<sst xmlns="http://schemas.openxmlformats.org/spreadsheetml/2006/main" count="1061" uniqueCount="435">
  <si>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</si>
  <si>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</si>
  <si>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</si>
  <si>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</si>
  <si>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</si>
  <si>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</si>
  <si>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</si>
  <si>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</si>
  <si>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</si>
  <si>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</si>
  <si>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</si>
  <si>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</si>
  <si>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</si>
  <si>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</si>
  <si>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</si>
  <si>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</si>
  <si>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</si>
  <si>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</si>
  <si>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</si>
  <si>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</si>
  <si>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</si>
  <si>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</si>
  <si>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</si>
  <si>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</si>
  <si>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</si>
  <si>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</si>
  <si>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</si>
  <si>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</si>
  <si>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</si>
  <si>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</si>
  <si>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</si>
  <si>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</si>
  <si>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</si>
  <si>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</si>
  <si>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</si>
  <si>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</si>
  <si>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</si>
  <si>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</si>
  <si>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</si>
  <si>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</si>
  <si>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</si>
  <si>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</si>
  <si>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</si>
  <si>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</si>
  <si>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</si>
  <si>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</si>
  <si>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</si>
  <si>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</si>
  <si>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</si>
  <si>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</si>
  <si>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</si>
  <si>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</si>
  <si>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</si>
  <si>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</si>
  <si>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</si>
  <si>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</si>
  <si>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</si>
  <si>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</si>
  <si>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</si>
  <si>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</si>
  <si>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</si>
  <si>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동양에스텍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</si>
  <si>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</si>
  <si>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</si>
  <si>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</si>
  <si>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</si>
  <si>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</si>
  <si>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</si>
  <si>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</si>
  <si>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</si>
  <si>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</si>
  <si>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</si>
  <si>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</si>
  <si>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</si>
  <si>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</si>
  <si>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</si>
  <si>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</si>
  <si>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</si>
  <si>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</si>
  <si>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</si>
  <si>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</si>
  <si>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</si>
  <si>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</si>
  <si>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</si>
  <si>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</si>
  <si>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</si>
  <si>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</si>
  <si>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</si>
  <si>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</si>
  <si>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</si>
  <si>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</si>
  <si>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</si>
  <si>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</si>
  <si>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</si>
  <si>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</si>
  <si>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</si>
  <si>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</si>
  <si>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</si>
  <si>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</si>
  <si>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</si>
  <si>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</si>
  <si>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</si>
  <si>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</si>
  <si>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</si>
  <si>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</si>
  <si>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</si>
  <si>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1,396/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</si>
  <si>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</si>
  <si>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</si>
  <si>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</si>
  <si>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</si>
  <si>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</si>
  <si>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</si>
  <si>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</si>
  <si>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</si>
  <si>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</si>
  <si>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</si>
  <si>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</si>
  <si>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</si>
  <si>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</si>
  <si>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</si>
  <si>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</si>
  <si>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</si>
  <si>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</si>
  <si>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19,700,000/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</si>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</sst>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60-4DE5-B8C4-52E01978E70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60-4DE5-B8C4-52E01978E70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60-4DE5-B8C4-52E01978E70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60-4DE5-B8C4-52E01978E70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60-4DE5-B8C4-52E01978E70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181</c:v>
                </c:pt>
                <c:pt idx="1">
                  <c:v>50</c:v>
                </c:pt>
                <c:pt idx="2">
                  <c:v>43</c:v>
                </c:pt>
                <c:pt idx="3">
                  <c:v>20</c:v>
                </c:pt>
                <c:pt idx="4">
                  <c:v>0</c:v>
                </c:pt>
                <c:pt idx="5">
                  <c:v>29.667733333333338</c:v>
                </c:pt>
                <c:pt idx="6">
                  <c:v>30.437116551111117</c:v>
                </c:pt>
                <c:pt idx="7">
                  <c:v>31.226452440336598</c:v>
                </c:pt>
                <c:pt idx="8">
                  <c:v>32.036258440289323</c:v>
                </c:pt>
                <c:pt idx="9">
                  <c:v>32.867065409174167</c:v>
                </c:pt>
                <c:pt idx="10">
                  <c:v>33.719417972118748</c:v>
                </c:pt>
                <c:pt idx="11">
                  <c:v>34.593874878195692</c:v>
                </c:pt>
                <c:pt idx="12">
                  <c:v>35.491009366703565</c:v>
                </c:pt>
                <c:pt idx="13">
                  <c:v>36.411409542946743</c:v>
                </c:pt>
                <c:pt idx="14">
                  <c:v>37.355678763760501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60-4DE5-B8C4-52E01978E70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860-4DE5-B8C4-52E01978E70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860-4DE5-B8C4-52E01978E70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860-4DE5-B8C4-52E01978E70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860-4DE5-B8C4-52E01978E70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860-4DE5-B8C4-52E01978E70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60-4DE5-B8C4-52E01978E70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181</c:v>
                </c:pt>
                <c:pt idx="1">
                  <c:v>50</c:v>
                </c:pt>
                <c:pt idx="2">
                  <c:v>43</c:v>
                </c:pt>
                <c:pt idx="3">
                  <c:v>20</c:v>
                </c:pt>
                <c:pt idx="4">
                  <c:v>0</c:v>
                </c:pt>
                <c:pt idx="5">
                  <c:v>38.438400000000009</c:v>
                </c:pt>
                <c:pt idx="6">
                  <c:v>47.888755199999999</c:v>
                </c:pt>
                <c:pt idx="7">
                  <c:v>57.468581419392009</c:v>
                </c:pt>
                <c:pt idx="8">
                  <c:v>67.350429229457589</c:v>
                </c:pt>
                <c:pt idx="9">
                  <c:v>77.689310056565276</c:v>
                </c:pt>
                <c:pt idx="10">
                  <c:v>88.629743436345763</c:v>
                </c:pt>
                <c:pt idx="11">
                  <c:v>100.31107066784251</c:v>
                </c:pt>
                <c:pt idx="12">
                  <c:v>112.87159788663379</c:v>
                </c:pt>
                <c:pt idx="13">
                  <c:v>126.45194977033297</c:v>
                </c:pt>
                <c:pt idx="14">
                  <c:v>141.19789691071443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860-4DE5-B8C4-52E01978E70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860-4DE5-B8C4-52E01978E70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860-4DE5-B8C4-52E01978E70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860-4DE5-B8C4-52E01978E70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860-4DE5-B8C4-52E01978E70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860-4DE5-B8C4-52E01978E70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860-4DE5-B8C4-52E01978E70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181</c:v>
                </c:pt>
                <c:pt idx="1">
                  <c:v>50</c:v>
                </c:pt>
                <c:pt idx="2">
                  <c:v>43</c:v>
                </c:pt>
                <c:pt idx="3">
                  <c:v>20</c:v>
                </c:pt>
                <c:pt idx="4">
                  <c:v>0</c:v>
                </c:pt>
                <c:pt idx="5">
                  <c:v>47.209066666666665</c:v>
                </c:pt>
                <c:pt idx="6">
                  <c:v>63.769392035555541</c:v>
                </c:pt>
                <c:pt idx="7">
                  <c:v>79.498702097256754</c:v>
                </c:pt>
                <c:pt idx="8">
                  <c:v>95.011215243160748</c:v>
                </c:pt>
                <c:pt idx="9">
                  <c:v>110.75370980058146</c:v>
                </c:pt>
                <c:pt idx="10">
                  <c:v>127.07350437058257</c:v>
                </c:pt>
                <c:pt idx="11">
                  <c:v>144.25920383363444</c:v>
                </c:pt>
                <c:pt idx="12">
                  <c:v>162.56613462735194</c:v>
                </c:pt>
                <c:pt idx="13">
                  <c:v>182.23289816681199</c:v>
                </c:pt>
                <c:pt idx="14">
                  <c:v>203.49264076083116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860-4DE5-B8C4-52E01978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14.01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30.33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3.5900000000000001E-2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0.39972999999999997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14.01</v>
      </c>
      <c r="C282">
        <v>30.33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7.81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2.02</v>
      </c>
      <c r="C290">
        <v>2.68</v>
      </c>
      <c r="D290">
        <v>0.77</v>
      </c>
    </row>
    <row r="291" spans="1:4" x14ac:dyDescent="0.4">
      <c r="A291" t="s">
        <v>85</v>
      </c>
      <c r="B291">
        <v>3.59</v>
      </c>
      <c r="C291">
        <v>1.25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13.77</v>
      </c>
      <c r="C443">
        <v>3.86</v>
      </c>
      <c r="D443">
        <v>3.74</v>
      </c>
      <c r="E443">
        <v>1.83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433</v>
      </c>
      <c r="C482" s="194">
        <v>479</v>
      </c>
      <c r="D482" s="194">
        <v>550</v>
      </c>
      <c r="E482" s="194">
        <v>516</v>
      </c>
      <c r="F482" s="194">
        <v>516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5</v>
      </c>
      <c r="C483" s="194">
        <v>5</v>
      </c>
      <c r="D483" s="194">
        <v>9</v>
      </c>
      <c r="E483" s="194">
        <v>-1</v>
      </c>
      <c r="F483" s="194">
        <v>-1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5</v>
      </c>
      <c r="C484" s="194">
        <v>5</v>
      </c>
      <c r="D484" s="194">
        <v>9</v>
      </c>
      <c r="E484" s="194">
        <v>-1</v>
      </c>
      <c r="F484" s="194">
        <v>-1</v>
      </c>
      <c r="G484" s="194"/>
      <c r="H484" s="194"/>
      <c r="I484" s="194"/>
    </row>
    <row r="485" spans="1:9" x14ac:dyDescent="0.4">
      <c r="A485" t="s">
        <v>277</v>
      </c>
      <c r="B485" s="194">
        <v>9</v>
      </c>
      <c r="C485" s="194">
        <v>3</v>
      </c>
      <c r="D485" s="194">
        <v>7</v>
      </c>
      <c r="E485" s="194">
        <v>0</v>
      </c>
      <c r="F485" s="194">
        <v>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6</v>
      </c>
      <c r="C486" s="194">
        <v>3</v>
      </c>
      <c r="D486" s="194">
        <v>5</v>
      </c>
      <c r="E486" s="194">
        <v>5</v>
      </c>
      <c r="F486" s="194">
        <v>5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</v>
      </c>
      <c r="C487" s="194">
        <v>1</v>
      </c>
      <c r="D487" s="194">
        <v>2</v>
      </c>
      <c r="E487" s="194">
        <v>2</v>
      </c>
      <c r="F487" s="194">
        <v>2</v>
      </c>
    </row>
    <row r="488" spans="1:9" x14ac:dyDescent="0.4">
      <c r="A488" t="s">
        <v>280</v>
      </c>
      <c r="B488" s="194">
        <v>1746</v>
      </c>
      <c r="C488" s="194">
        <v>1887</v>
      </c>
      <c r="D488" s="194">
        <v>1972</v>
      </c>
      <c r="E488" s="194">
        <v>1972</v>
      </c>
      <c r="F488" s="194">
        <v>1972</v>
      </c>
    </row>
    <row r="489" spans="1:9" x14ac:dyDescent="0.4">
      <c r="A489" t="s">
        <v>281</v>
      </c>
      <c r="B489" s="194">
        <v>547</v>
      </c>
      <c r="C489" s="194">
        <v>685</v>
      </c>
      <c r="D489" s="194">
        <v>762</v>
      </c>
      <c r="E489" s="194">
        <v>762</v>
      </c>
      <c r="F489" s="194">
        <v>762</v>
      </c>
    </row>
    <row r="490" spans="1:9" x14ac:dyDescent="0.4">
      <c r="A490" t="s">
        <v>282</v>
      </c>
      <c r="B490" s="194">
        <v>1199</v>
      </c>
      <c r="C490" s="194">
        <v>1202</v>
      </c>
      <c r="D490" s="194">
        <v>1210</v>
      </c>
      <c r="E490" s="194">
        <v>1210</v>
      </c>
      <c r="F490" s="194">
        <v>1210</v>
      </c>
    </row>
    <row r="491" spans="1:9" x14ac:dyDescent="0.4">
      <c r="A491" t="s">
        <v>283</v>
      </c>
      <c r="B491" s="194">
        <v>1136</v>
      </c>
      <c r="C491" s="194">
        <v>1138</v>
      </c>
      <c r="D491" s="194">
        <v>1144</v>
      </c>
      <c r="E491" s="194">
        <v>1144</v>
      </c>
      <c r="F491" s="194">
        <v>1144</v>
      </c>
    </row>
    <row r="492" spans="1:9" x14ac:dyDescent="0.4">
      <c r="A492" t="s">
        <v>284</v>
      </c>
      <c r="B492" s="194">
        <v>64</v>
      </c>
      <c r="C492" s="194">
        <v>64</v>
      </c>
      <c r="D492" s="194">
        <v>66</v>
      </c>
      <c r="E492" s="194">
        <v>66</v>
      </c>
      <c r="F492" s="194">
        <v>66</v>
      </c>
    </row>
    <row r="493" spans="1:9" x14ac:dyDescent="0.4">
      <c r="A493" t="s">
        <v>285</v>
      </c>
      <c r="B493" s="194">
        <v>99</v>
      </c>
      <c r="C493" s="194">
        <v>99</v>
      </c>
      <c r="D493" s="196">
        <v>99</v>
      </c>
      <c r="E493" s="196">
        <v>99</v>
      </c>
      <c r="F493" s="196">
        <v>99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1.96</v>
      </c>
      <c r="C510">
        <v>0.72</v>
      </c>
      <c r="D510">
        <v>1.51</v>
      </c>
      <c r="E510">
        <v>1.51</v>
      </c>
      <c r="F510">
        <v>1.51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동양에스텍</v>
      </c>
      <c r="D4" s="82" t="s">
        <v>340</v>
      </c>
      <c r="E4" s="83">
        <f ca="1">Data!B7</f>
        <v>19700000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1396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0.39972999999999997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1.5789473684210527E-2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2.5933333333333336E-2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1.5789473684210527E-2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2.5933333333333336E-2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0.28210000000000002</v>
      </c>
      <c r="D22" s="120">
        <f>Data!C40</f>
        <v>6.6600000000000006E-2</v>
      </c>
      <c r="E22" s="121">
        <f>Data!D40</f>
        <v>5.4600000000000003E-2</v>
      </c>
      <c r="F22" s="122">
        <f>Data!E40</f>
        <v>2.0199999999999999E-2</v>
      </c>
      <c r="G22" s="122">
        <f>Data!F40</f>
        <v>2.0199999999999999E-2</v>
      </c>
      <c r="H22" s="123">
        <f ca="1">Data!K78</f>
        <v>1.5789473684210527E-2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2.5933333333333336E-2</v>
      </c>
      <c r="G24" s="122">
        <f ca="1">IF(E24="컨센 없음",IF(D24="컨센 없음",IF(C24="컨센 없음",IF(H22="분기자료부족",J22,IF(I21="상승추세",H22,IF(I22="하락추세",H22,F24))),C24),D24),E24)</f>
        <v>1.5789473684210527E-2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1396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2885.0424152026549</v>
      </c>
      <c r="D28" s="143">
        <f ca="1">C27/C28-1</f>
        <v>-0.51612496487267756</v>
      </c>
      <c r="E28" s="144" t="s">
        <v>368</v>
      </c>
      <c r="F28" s="145">
        <f ca="1">RIM계산!C11</f>
        <v>2885.0424152026549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4607.0423156484876</v>
      </c>
      <c r="E29" s="149" t="s">
        <v>370</v>
      </c>
      <c r="F29" s="150">
        <f ca="1">RIM계산!C12</f>
        <v>3908.9798165981365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2885.0424152026549</v>
      </c>
      <c r="E30" s="149" t="s">
        <v>372</v>
      </c>
      <c r="F30" s="154">
        <f ca="1">RIM계산!C13</f>
        <v>4607.0423156484876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50</v>
      </c>
      <c r="D34" s="162">
        <f>Data!C43</f>
        <v>50</v>
      </c>
      <c r="E34" s="162">
        <f>Data!D43</f>
        <v>50</v>
      </c>
      <c r="F34" s="162">
        <f>Data!E43</f>
        <v>50</v>
      </c>
      <c r="G34" s="162">
        <f>Data!F43</f>
        <v>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1.43E-2</v>
      </c>
      <c r="D35" s="165">
        <f>Data!C44</f>
        <v>2.5499999999999998E-2</v>
      </c>
      <c r="E35" s="165">
        <f>Data!D44</f>
        <v>2.4E-2</v>
      </c>
      <c r="F35" s="165">
        <f>Data!E44</f>
        <v>3.5900000000000001E-2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0.13769999999999999</v>
      </c>
      <c r="D36" s="6">
        <f ca="1">Data!C39</f>
        <v>3.8599999999999995E-2</v>
      </c>
      <c r="E36" s="6">
        <f ca="1">Data!D39</f>
        <v>3.7400000000000003E-2</v>
      </c>
      <c r="F36" s="6">
        <f ca="1">Data!E39</f>
        <v>1.83E-2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918</v>
      </c>
      <c r="D37" s="71">
        <f>Data!C41</f>
        <v>252</v>
      </c>
      <c r="E37" s="71">
        <f>Data!D41</f>
        <v>217</v>
      </c>
      <c r="F37" s="71">
        <f>Data!E41</f>
        <v>99</v>
      </c>
      <c r="G37" s="71">
        <f>Data!F41</f>
        <v>97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3735</v>
      </c>
      <c r="D38" s="71">
        <f>Data!C42</f>
        <v>3938</v>
      </c>
      <c r="E38" s="71">
        <f>Data!D42</f>
        <v>4114</v>
      </c>
      <c r="F38" s="71">
        <f>Data!E42</f>
        <v>5833</v>
      </c>
      <c r="G38" s="71">
        <f>Data!F42</f>
        <v>5833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1.3386880856760375E-2</v>
      </c>
      <c r="D39" s="169">
        <f t="shared" si="0"/>
        <v>1.2696800406297613E-2</v>
      </c>
      <c r="E39" s="169">
        <f t="shared" si="0"/>
        <v>1.2153621779290228E-2</v>
      </c>
      <c r="F39" s="169">
        <f t="shared" si="0"/>
        <v>8.5719183953368756E-3</v>
      </c>
      <c r="G39" s="169">
        <f t="shared" si="0"/>
        <v>8.5719183953368756E-3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동양에스텍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2.0199999999999999E-2</v>
      </c>
      <c r="D42" s="6">
        <f>Data!C85</f>
        <v>2.6800000000000001E-2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14.01</v>
      </c>
      <c r="D43" s="183">
        <f>Data!C86</f>
        <v>30.33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3.5900000000000001E-2</v>
      </c>
      <c r="D44" s="188">
        <f>Data!C87</f>
        <v>1.2500000000000001E-2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동양에스텍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1396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1,396/ </v>
      </c>
    </row>
    <row r="6" spans="1:9" x14ac:dyDescent="0.4">
      <c r="A6" s="15" t="s">
        <v>114</v>
      </c>
      <c r="B6" s="15">
        <f ca="1">I6</f>
        <v>0.39972999999999997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0.39972999999999997</v>
      </c>
    </row>
    <row r="7" spans="1:9" x14ac:dyDescent="0.4">
      <c r="A7" s="15" t="s">
        <v>123</v>
      </c>
      <c r="B7" s="66">
        <f ca="1">LEFT(I7,SEARCHB("/",I7)-1)*1</f>
        <v>19700000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19,700,000/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14.01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14.01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30.33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30.33</v>
      </c>
    </row>
    <row r="19" spans="1:9" x14ac:dyDescent="0.4">
      <c r="A19" s="9" t="s">
        <v>247</v>
      </c>
      <c r="B19" s="9">
        <f t="shared" ca="1" si="0"/>
        <v>7.81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7.81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3.5900000000000001E-2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3.5900000000000001E-2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2424</v>
      </c>
      <c r="C27" s="71">
        <v>2325</v>
      </c>
      <c r="D27" s="71">
        <v>2105</v>
      </c>
      <c r="E27" s="71">
        <v>1910</v>
      </c>
      <c r="F27" s="71">
        <v>1978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228</v>
      </c>
      <c r="C28" s="71">
        <v>68</v>
      </c>
      <c r="D28" s="71">
        <v>60</v>
      </c>
      <c r="E28" s="71">
        <v>32</v>
      </c>
      <c r="F28" s="71">
        <v>18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228</v>
      </c>
      <c r="C29" s="71">
        <v>68</v>
      </c>
      <c r="D29" s="71">
        <v>60</v>
      </c>
      <c r="E29" s="71">
        <v>32</v>
      </c>
      <c r="F29" s="71">
        <v>18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192</v>
      </c>
      <c r="C30" s="71">
        <v>58</v>
      </c>
      <c r="D30" s="71">
        <v>55</v>
      </c>
      <c r="E30" s="71">
        <v>30</v>
      </c>
      <c r="F30" s="71">
        <v>19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181</v>
      </c>
      <c r="C31" s="74">
        <v>50</v>
      </c>
      <c r="D31" s="74">
        <v>43</v>
      </c>
      <c r="E31" s="74">
        <v>20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11</v>
      </c>
      <c r="C32" s="71">
        <v>9</v>
      </c>
      <c r="D32" s="71">
        <v>12</v>
      </c>
      <c r="E32" s="71">
        <v>11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1582</v>
      </c>
      <c r="C33" s="71">
        <v>1435</v>
      </c>
      <c r="D33" s="71">
        <v>1496</v>
      </c>
      <c r="E33" s="71">
        <v>1803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824</v>
      </c>
      <c r="C34" s="71">
        <v>632</v>
      </c>
      <c r="D34" s="71">
        <v>642</v>
      </c>
      <c r="E34" s="71">
        <v>599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759</v>
      </c>
      <c r="C35" s="71">
        <v>803</v>
      </c>
      <c r="D35" s="71">
        <v>855</v>
      </c>
      <c r="E35" s="71">
        <v>1204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725</v>
      </c>
      <c r="C36" s="74">
        <v>765</v>
      </c>
      <c r="D36" s="74">
        <v>800</v>
      </c>
      <c r="E36" s="74">
        <v>1139</v>
      </c>
      <c r="F36" s="74">
        <v>1139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33</v>
      </c>
      <c r="C37" s="71">
        <v>37</v>
      </c>
      <c r="D37" s="71">
        <v>55</v>
      </c>
      <c r="E37" s="71">
        <v>65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99</v>
      </c>
      <c r="C38" s="71">
        <v>99</v>
      </c>
      <c r="D38" s="71">
        <v>99</v>
      </c>
      <c r="E38" s="71">
        <v>99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0.13769999999999999</v>
      </c>
      <c r="C39" s="75">
        <f ca="1">OFFSET(INDIRECT($H$24),ROW()-2,COLUMN()-1,1,1)/100</f>
        <v>3.8599999999999995E-2</v>
      </c>
      <c r="D39" s="75">
        <f ca="1">OFFSET(INDIRECT($H$24),ROW()-2,COLUMN()-1,1,1)/100</f>
        <v>3.7400000000000003E-2</v>
      </c>
      <c r="E39" s="75">
        <f ca="1">OFFSET(INDIRECT($H$24),ROW()-2,COLUMN()-1,1,1)/100</f>
        <v>1.83E-2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0.28210000000000002</v>
      </c>
      <c r="C40" s="75">
        <v>6.6600000000000006E-2</v>
      </c>
      <c r="D40" s="75">
        <v>5.4600000000000003E-2</v>
      </c>
      <c r="E40" s="75">
        <v>2.0199999999999999E-2</v>
      </c>
      <c r="F40" s="75">
        <v>2.0199999999999999E-2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918</v>
      </c>
      <c r="C41" s="71">
        <v>252</v>
      </c>
      <c r="D41" s="71">
        <v>217</v>
      </c>
      <c r="E41" s="71">
        <v>99</v>
      </c>
      <c r="F41" s="71">
        <v>97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3735</v>
      </c>
      <c r="C42" s="71">
        <v>3938</v>
      </c>
      <c r="D42" s="71">
        <v>4114</v>
      </c>
      <c r="E42" s="71">
        <v>5833</v>
      </c>
      <c r="F42" s="71">
        <v>5833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50</v>
      </c>
      <c r="C43" s="71">
        <v>50</v>
      </c>
      <c r="D43" s="71">
        <v>50</v>
      </c>
      <c r="E43" s="71">
        <v>50</v>
      </c>
      <c r="F43" s="71">
        <v>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1.43E-2</v>
      </c>
      <c r="C44" s="75">
        <v>2.5499999999999998E-2</v>
      </c>
      <c r="D44" s="75">
        <v>2.4E-2</v>
      </c>
      <c r="E44" s="75">
        <v>3.5900000000000001E-2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433</v>
      </c>
      <c r="C51" s="71">
        <f t="shared" ca="1" si="5"/>
        <v>479</v>
      </c>
      <c r="D51" s="71">
        <f t="shared" ca="1" si="5"/>
        <v>550</v>
      </c>
      <c r="E51" s="71">
        <f t="shared" ca="1" si="5"/>
        <v>516</v>
      </c>
      <c r="F51" s="71">
        <f t="shared" ca="1" si="5"/>
        <v>516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433</v>
      </c>
    </row>
    <row r="52" spans="1:11" x14ac:dyDescent="0.4">
      <c r="A52" s="72" t="str">
        <f t="shared" ca="1" si="5"/>
        <v>영업이익</v>
      </c>
      <c r="B52" s="71">
        <f t="shared" ca="1" si="5"/>
        <v>5</v>
      </c>
      <c r="C52" s="71">
        <f t="shared" ca="1" si="5"/>
        <v>5</v>
      </c>
      <c r="D52" s="71">
        <f t="shared" ca="1" si="5"/>
        <v>9</v>
      </c>
      <c r="E52" s="71">
        <f t="shared" ca="1" si="5"/>
        <v>-1</v>
      </c>
      <c r="F52" s="71">
        <f t="shared" ca="1" si="5"/>
        <v>-1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5</v>
      </c>
      <c r="C53" s="71">
        <f t="shared" ca="1" si="5"/>
        <v>5</v>
      </c>
      <c r="D53" s="71">
        <f t="shared" ca="1" si="5"/>
        <v>9</v>
      </c>
      <c r="E53" s="71">
        <f t="shared" ca="1" si="5"/>
        <v>-1</v>
      </c>
      <c r="F53" s="71">
        <f t="shared" ca="1" si="5"/>
        <v>-1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9</v>
      </c>
      <c r="C54" s="71">
        <f t="shared" ca="1" si="5"/>
        <v>3</v>
      </c>
      <c r="D54" s="71">
        <f t="shared" ca="1" si="5"/>
        <v>7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6</v>
      </c>
      <c r="C55" s="71">
        <f t="shared" ca="1" si="5"/>
        <v>3</v>
      </c>
      <c r="D55" s="71">
        <f t="shared" ca="1" si="5"/>
        <v>5</v>
      </c>
      <c r="E55" s="71">
        <f t="shared" ca="1" si="5"/>
        <v>5</v>
      </c>
      <c r="F55" s="71">
        <f t="shared" ca="1" si="5"/>
        <v>5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</v>
      </c>
      <c r="C56" s="71">
        <f t="shared" ca="1" si="5"/>
        <v>1</v>
      </c>
      <c r="D56" s="71">
        <f t="shared" ca="1" si="5"/>
        <v>2</v>
      </c>
      <c r="E56" s="71">
        <f t="shared" ca="1" si="5"/>
        <v>2</v>
      </c>
      <c r="F56" s="71">
        <f t="shared" ca="1" si="5"/>
        <v>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1746</v>
      </c>
      <c r="C57" s="71">
        <f t="shared" ca="1" si="5"/>
        <v>1887</v>
      </c>
      <c r="D57" s="71">
        <f t="shared" ca="1" si="5"/>
        <v>1972</v>
      </c>
      <c r="E57" s="71">
        <f t="shared" ca="1" si="5"/>
        <v>1972</v>
      </c>
      <c r="F57" s="71">
        <f t="shared" ca="1" si="5"/>
        <v>1972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547</v>
      </c>
      <c r="C58" s="71">
        <f t="shared" ca="1" si="5"/>
        <v>685</v>
      </c>
      <c r="D58" s="71">
        <f t="shared" ca="1" si="5"/>
        <v>762</v>
      </c>
      <c r="E58" s="71">
        <f t="shared" ca="1" si="5"/>
        <v>762</v>
      </c>
      <c r="F58" s="71">
        <f t="shared" ca="1" si="5"/>
        <v>762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1199</v>
      </c>
      <c r="C59" s="71">
        <f t="shared" ca="1" si="5"/>
        <v>1202</v>
      </c>
      <c r="D59" s="71">
        <f t="shared" ca="1" si="5"/>
        <v>1210</v>
      </c>
      <c r="E59" s="71">
        <f t="shared" ca="1" si="5"/>
        <v>1210</v>
      </c>
      <c r="F59" s="71">
        <f t="shared" ca="1" si="5"/>
        <v>1210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1136</v>
      </c>
      <c r="C60" s="71">
        <f t="shared" ca="1" si="5"/>
        <v>1138</v>
      </c>
      <c r="D60" s="71">
        <f t="shared" ca="1" si="5"/>
        <v>1144</v>
      </c>
      <c r="E60" s="71">
        <f t="shared" ca="1" si="5"/>
        <v>1144</v>
      </c>
      <c r="F60" s="71">
        <f t="shared" ca="1" si="5"/>
        <v>1144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1140</v>
      </c>
    </row>
    <row r="61" spans="1:11" x14ac:dyDescent="0.4">
      <c r="A61" s="72" t="str">
        <f t="shared" ca="1" si="5"/>
        <v>  비지배주주지분</v>
      </c>
      <c r="B61" s="71">
        <f t="shared" ca="1" si="5"/>
        <v>64</v>
      </c>
      <c r="C61" s="71">
        <f t="shared" ca="1" si="5"/>
        <v>64</v>
      </c>
      <c r="D61" s="71">
        <f t="shared" ca="1" si="5"/>
        <v>66</v>
      </c>
      <c r="E61" s="71">
        <f t="shared" ca="1" si="5"/>
        <v>66</v>
      </c>
      <c r="F61" s="71">
        <f t="shared" ca="1" si="5"/>
        <v>66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1.5789473684210527E-2</v>
      </c>
    </row>
    <row r="62" spans="1:11" x14ac:dyDescent="0.4">
      <c r="A62" s="72" t="str">
        <f t="shared" ca="1" si="5"/>
        <v>자본금</v>
      </c>
      <c r="B62" s="71">
        <f t="shared" ca="1" si="5"/>
        <v>99</v>
      </c>
      <c r="C62" s="71">
        <f t="shared" ca="1" si="5"/>
        <v>99</v>
      </c>
      <c r="D62" s="71">
        <f t="shared" ca="1" si="5"/>
        <v>99</v>
      </c>
      <c r="E62" s="71">
        <f t="shared" ca="1" si="5"/>
        <v>99</v>
      </c>
      <c r="F62" s="71">
        <f t="shared" ca="1" si="5"/>
        <v>99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1.5789473684210527E-2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2.0199999999999999E-2</v>
      </c>
      <c r="C85" s="75">
        <v>2.6800000000000001E-2</v>
      </c>
      <c r="D85" s="75">
        <v>7.7000000000000002E-3</v>
      </c>
    </row>
    <row r="86" spans="1:9" x14ac:dyDescent="0.4">
      <c r="A86" s="9" t="s">
        <v>74</v>
      </c>
      <c r="B86" s="183">
        <v>14.01</v>
      </c>
      <c r="C86" s="183">
        <v>30.33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3.5900000000000001E-2</v>
      </c>
      <c r="C87" s="75">
        <v>1.2500000000000001E-2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0.28210000000000002</v>
      </c>
      <c r="F2" s="174">
        <f>Data!C40</f>
        <v>6.6600000000000006E-2</v>
      </c>
      <c r="G2" s="174">
        <f>Data!D40</f>
        <v>5.4600000000000003E-2</v>
      </c>
      <c r="H2" s="174">
        <f>Data!E40</f>
        <v>2.0199999999999999E-2</v>
      </c>
      <c r="I2" s="174">
        <f>Data!F40</f>
        <v>2.0199999999999999E-2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1.5789473684210527E-2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725</v>
      </c>
      <c r="F3" s="76">
        <f>Data!C36</f>
        <v>765</v>
      </c>
      <c r="G3" s="76">
        <f>Data!D36</f>
        <v>800</v>
      </c>
      <c r="H3" s="76">
        <f>Data!E36</f>
        <v>1139</v>
      </c>
      <c r="I3" s="76">
        <f>Data!F36</f>
        <v>1139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1144</v>
      </c>
    </row>
    <row r="4" spans="1:13" x14ac:dyDescent="0.4">
      <c r="A4" s="15" t="s">
        <v>384</v>
      </c>
      <c r="B4" s="13">
        <f ca="1">Data!B7+Data!C7</f>
        <v>19700000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181</v>
      </c>
      <c r="F5" s="76">
        <f>Data!C31</f>
        <v>50</v>
      </c>
      <c r="G5" s="76">
        <f>Data!D31</f>
        <v>43</v>
      </c>
      <c r="H5" s="76">
        <f>Data!E31</f>
        <v>20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2.5933333333333336E-2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1144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568.353355794923</v>
      </c>
      <c r="C11" s="41">
        <f ca="1">C26</f>
        <v>2885.0424152026549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770.0690238698329</v>
      </c>
      <c r="C12" s="37">
        <f ca="1">C39</f>
        <v>3908.9798165981365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907.5873361827521</v>
      </c>
      <c r="C13" s="45">
        <f ca="1">C52</f>
        <v>4607.0423156484876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-7.6666666666666661E-2</v>
      </c>
      <c r="C18" s="19">
        <f t="shared" ref="C18:L18" ca="1" si="2">IF(YEAR(C16)&gt;$J$7,0,B18*$B$15)</f>
        <v>-7.6666666666666661E-2</v>
      </c>
      <c r="D18" s="19">
        <f t="shared" ca="1" si="2"/>
        <v>-7.6666666666666661E-2</v>
      </c>
      <c r="E18" s="19">
        <f t="shared" ca="1" si="2"/>
        <v>-7.6666666666666661E-2</v>
      </c>
      <c r="F18" s="19">
        <f t="shared" ca="1" si="2"/>
        <v>-7.6666666666666661E-2</v>
      </c>
      <c r="G18" s="19">
        <f t="shared" ca="1" si="2"/>
        <v>-7.6666666666666661E-2</v>
      </c>
      <c r="H18" s="19">
        <f t="shared" ca="1" si="2"/>
        <v>-7.6666666666666661E-2</v>
      </c>
      <c r="I18" s="19">
        <f t="shared" ca="1" si="2"/>
        <v>-7.6666666666666661E-2</v>
      </c>
      <c r="J18" s="19">
        <f t="shared" ca="1" si="2"/>
        <v>-7.6666666666666661E-2</v>
      </c>
      <c r="K18" s="19">
        <f t="shared" ca="1" si="2"/>
        <v>-7.6666666666666661E-2</v>
      </c>
      <c r="L18" s="19">
        <f t="shared" ca="1" si="2"/>
        <v>-7.6666666666666661E-2</v>
      </c>
    </row>
    <row r="19" spans="1:12" x14ac:dyDescent="0.4">
      <c r="A19" s="15" t="s">
        <v>249</v>
      </c>
      <c r="B19" s="19">
        <f t="shared" ref="B19:L19" ca="1" si="3">B17+B18</f>
        <v>2.5933333333333336E-2</v>
      </c>
      <c r="C19" s="19">
        <f t="shared" ca="1" si="3"/>
        <v>2.5933333333333336E-2</v>
      </c>
      <c r="D19" s="19">
        <f t="shared" ca="1" si="3"/>
        <v>2.5933333333333336E-2</v>
      </c>
      <c r="E19" s="19">
        <f t="shared" ca="1" si="3"/>
        <v>2.5933333333333336E-2</v>
      </c>
      <c r="F19" s="19">
        <f t="shared" ca="1" si="3"/>
        <v>2.5933333333333336E-2</v>
      </c>
      <c r="G19" s="19">
        <f t="shared" ca="1" si="3"/>
        <v>2.5933333333333336E-2</v>
      </c>
      <c r="H19" s="19">
        <f t="shared" ca="1" si="3"/>
        <v>2.5933333333333336E-2</v>
      </c>
      <c r="I19" s="19">
        <f t="shared" ca="1" si="3"/>
        <v>2.5933333333333336E-2</v>
      </c>
      <c r="J19" s="19">
        <f t="shared" ca="1" si="3"/>
        <v>2.5933333333333336E-2</v>
      </c>
      <c r="K19" s="19">
        <f t="shared" ca="1" si="3"/>
        <v>2.5933333333333336E-2</v>
      </c>
      <c r="L19" s="19">
        <f t="shared" ca="1" si="3"/>
        <v>2.5933333333333336E-2</v>
      </c>
    </row>
    <row r="20" spans="1:12" x14ac:dyDescent="0.4">
      <c r="A20" s="15" t="s">
        <v>385</v>
      </c>
      <c r="B20" s="20"/>
      <c r="C20" s="20">
        <f t="shared" ref="C20:L20" ca="1" si="4">B21*C19</f>
        <v>29.667733333333338</v>
      </c>
      <c r="D20" s="20">
        <f t="shared" ca="1" si="4"/>
        <v>30.437116551111117</v>
      </c>
      <c r="E20" s="20">
        <f t="shared" ca="1" si="4"/>
        <v>31.226452440336598</v>
      </c>
      <c r="F20" s="20">
        <f t="shared" ca="1" si="4"/>
        <v>32.036258440289323</v>
      </c>
      <c r="G20" s="20">
        <f t="shared" ca="1" si="4"/>
        <v>32.867065409174167</v>
      </c>
      <c r="H20" s="20">
        <f t="shared" ca="1" si="4"/>
        <v>33.719417972118748</v>
      </c>
      <c r="I20" s="20">
        <f t="shared" ca="1" si="4"/>
        <v>34.593874878195692</v>
      </c>
      <c r="J20" s="20">
        <f t="shared" ca="1" si="4"/>
        <v>35.491009366703565</v>
      </c>
      <c r="K20" s="20">
        <f t="shared" ca="1" si="4"/>
        <v>36.411409542946743</v>
      </c>
      <c r="L20" s="20">
        <f t="shared" ca="1" si="4"/>
        <v>37.355678763760501</v>
      </c>
    </row>
    <row r="21" spans="1:12" x14ac:dyDescent="0.4">
      <c r="A21" s="15" t="s">
        <v>383</v>
      </c>
      <c r="B21" s="20">
        <f ca="1">$F$8</f>
        <v>1144</v>
      </c>
      <c r="C21" s="20">
        <f t="shared" ref="C21:L21" ca="1" si="5">B21+C20</f>
        <v>1173.6677333333334</v>
      </c>
      <c r="D21" s="20">
        <f t="shared" ca="1" si="5"/>
        <v>1204.1048498844445</v>
      </c>
      <c r="E21" s="20">
        <f t="shared" ca="1" si="5"/>
        <v>1235.3313023247811</v>
      </c>
      <c r="F21" s="20">
        <f t="shared" ca="1" si="5"/>
        <v>1267.3675607650705</v>
      </c>
      <c r="G21" s="20">
        <f t="shared" ca="1" si="5"/>
        <v>1300.2346261742446</v>
      </c>
      <c r="H21" s="20">
        <f t="shared" ca="1" si="5"/>
        <v>1333.9540441463632</v>
      </c>
      <c r="I21" s="20">
        <f t="shared" ca="1" si="5"/>
        <v>1368.547919024559</v>
      </c>
      <c r="J21" s="20">
        <f t="shared" ca="1" si="5"/>
        <v>1404.0389283912625</v>
      </c>
      <c r="K21" s="20">
        <f t="shared" ca="1" si="5"/>
        <v>1440.4503379342093</v>
      </c>
      <c r="L21" s="20">
        <f t="shared" ca="1" si="5"/>
        <v>1477.8060166979699</v>
      </c>
    </row>
    <row r="22" spans="1:12" x14ac:dyDescent="0.4">
      <c r="A22" s="15" t="s">
        <v>398</v>
      </c>
      <c r="B22" s="20"/>
      <c r="C22" s="20">
        <f t="shared" ref="C22:L22" ca="1" si="6">C20-B21*C17</f>
        <v>-87.706666666666649</v>
      </c>
      <c r="D22" s="20">
        <f t="shared" ca="1" si="6"/>
        <v>-89.981192888888884</v>
      </c>
      <c r="E22" s="20">
        <f t="shared" ca="1" si="6"/>
        <v>-92.31470515780741</v>
      </c>
      <c r="F22" s="20">
        <f t="shared" ca="1" si="6"/>
        <v>-94.708733178233217</v>
      </c>
      <c r="G22" s="20">
        <f t="shared" ca="1" si="6"/>
        <v>-97.16484632532206</v>
      </c>
      <c r="H22" s="20">
        <f t="shared" ca="1" si="6"/>
        <v>-99.68465467335875</v>
      </c>
      <c r="I22" s="20">
        <f t="shared" ca="1" si="6"/>
        <v>-102.26981005122119</v>
      </c>
      <c r="J22" s="20">
        <f t="shared" ca="1" si="6"/>
        <v>-104.92200712521617</v>
      </c>
      <c r="K22" s="20">
        <f t="shared" ca="1" si="6"/>
        <v>-107.64298450999679</v>
      </c>
      <c r="L22" s="20">
        <f t="shared" ca="1" si="6"/>
        <v>-110.43452590828937</v>
      </c>
    </row>
    <row r="23" spans="1:12" x14ac:dyDescent="0.4">
      <c r="A23" s="15" t="s">
        <v>399</v>
      </c>
      <c r="B23" s="62">
        <f ca="1">NPV($B$3,C22:L22)</f>
        <v>-587.53539044667878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556.46460955332122</v>
      </c>
      <c r="C25" s="63">
        <f ca="1">B25/(1+$B$3)^($H$8/365)</f>
        <v>568.353355794923</v>
      </c>
    </row>
    <row r="26" spans="1:12" x14ac:dyDescent="0.4">
      <c r="A26" s="15" t="s">
        <v>363</v>
      </c>
      <c r="B26" s="23">
        <f ca="1">B25*100000000/($B$4-$B$5)</f>
        <v>2824.6934495092446</v>
      </c>
      <c r="C26" s="23">
        <f ca="1">B26/(1+$B$3)^($H$8/365)</f>
        <v>2885.0424152026549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-7.6666666666666661E-2</v>
      </c>
      <c r="C31" s="19">
        <f t="shared" ref="C31:L31" ca="1" si="9">IF(YEAR(C16)&gt;$J$7,0,B31*$B$28)</f>
        <v>-6.8999999999999992E-2</v>
      </c>
      <c r="D31" s="19">
        <f t="shared" ca="1" si="9"/>
        <v>-6.2099999999999995E-2</v>
      </c>
      <c r="E31" s="19">
        <f t="shared" ca="1" si="9"/>
        <v>-5.5889999999999995E-2</v>
      </c>
      <c r="F31" s="19">
        <f t="shared" ca="1" si="9"/>
        <v>-5.0300999999999998E-2</v>
      </c>
      <c r="G31" s="19">
        <f t="shared" ca="1" si="9"/>
        <v>-4.5270900000000003E-2</v>
      </c>
      <c r="H31" s="19">
        <f t="shared" ca="1" si="9"/>
        <v>-4.0743810000000005E-2</v>
      </c>
      <c r="I31" s="19">
        <f t="shared" ca="1" si="9"/>
        <v>-3.6669429000000003E-2</v>
      </c>
      <c r="J31" s="19">
        <f t="shared" ca="1" si="9"/>
        <v>-3.3002486100000006E-2</v>
      </c>
      <c r="K31" s="19">
        <f t="shared" ca="1" si="9"/>
        <v>-2.9702237490000005E-2</v>
      </c>
      <c r="L31" s="19">
        <f t="shared" ca="1" si="9"/>
        <v>-2.6732013741000007E-2</v>
      </c>
    </row>
    <row r="32" spans="1:12" x14ac:dyDescent="0.4">
      <c r="A32" s="15" t="s">
        <v>249</v>
      </c>
      <c r="B32" s="19">
        <f t="shared" ref="B32:L32" ca="1" si="10">B30+B31</f>
        <v>2.5933333333333336E-2</v>
      </c>
      <c r="C32" s="19">
        <f t="shared" ca="1" si="10"/>
        <v>3.3600000000000005E-2</v>
      </c>
      <c r="D32" s="19">
        <f t="shared" ca="1" si="10"/>
        <v>4.0500000000000001E-2</v>
      </c>
      <c r="E32" s="19">
        <f t="shared" ca="1" si="10"/>
        <v>4.6710000000000002E-2</v>
      </c>
      <c r="F32" s="19">
        <f t="shared" ca="1" si="10"/>
        <v>5.2298999999999998E-2</v>
      </c>
      <c r="G32" s="19">
        <f t="shared" ca="1" si="10"/>
        <v>5.7329099999999994E-2</v>
      </c>
      <c r="H32" s="19">
        <f t="shared" ca="1" si="10"/>
        <v>6.1856189999999991E-2</v>
      </c>
      <c r="I32" s="19">
        <f t="shared" ca="1" si="10"/>
        <v>6.5930570999999993E-2</v>
      </c>
      <c r="J32" s="19">
        <f t="shared" ca="1" si="10"/>
        <v>6.9597513899999991E-2</v>
      </c>
      <c r="K32" s="19">
        <f t="shared" ca="1" si="10"/>
        <v>7.2897762509999992E-2</v>
      </c>
      <c r="L32" s="19">
        <f t="shared" ca="1" si="10"/>
        <v>7.5867986258999986E-2</v>
      </c>
    </row>
    <row r="33" spans="1:12" x14ac:dyDescent="0.4">
      <c r="A33" s="15" t="s">
        <v>385</v>
      </c>
      <c r="B33" s="20"/>
      <c r="C33" s="20">
        <f t="shared" ref="C33:L33" ca="1" si="11">B34*C32</f>
        <v>38.438400000000009</v>
      </c>
      <c r="D33" s="20">
        <f t="shared" ca="1" si="11"/>
        <v>47.888755199999999</v>
      </c>
      <c r="E33" s="20">
        <f t="shared" ca="1" si="11"/>
        <v>57.468581419392009</v>
      </c>
      <c r="F33" s="20">
        <f t="shared" ca="1" si="11"/>
        <v>67.350429229457589</v>
      </c>
      <c r="G33" s="20">
        <f t="shared" ca="1" si="11"/>
        <v>77.689310056565276</v>
      </c>
      <c r="H33" s="20">
        <f t="shared" ca="1" si="11"/>
        <v>88.629743436345763</v>
      </c>
      <c r="I33" s="20">
        <f t="shared" ca="1" si="11"/>
        <v>100.31107066784251</v>
      </c>
      <c r="J33" s="20">
        <f t="shared" ca="1" si="11"/>
        <v>112.87159788663379</v>
      </c>
      <c r="K33" s="20">
        <f t="shared" ca="1" si="11"/>
        <v>126.45194977033297</v>
      </c>
      <c r="L33" s="20">
        <f t="shared" ca="1" si="11"/>
        <v>141.19789691071443</v>
      </c>
    </row>
    <row r="34" spans="1:12" x14ac:dyDescent="0.4">
      <c r="A34" s="15" t="s">
        <v>383</v>
      </c>
      <c r="B34" s="20">
        <f ca="1">$F$8</f>
        <v>1144</v>
      </c>
      <c r="C34" s="20">
        <f t="shared" ref="C34:L34" ca="1" si="12">B34+C33</f>
        <v>1182.4384</v>
      </c>
      <c r="D34" s="20">
        <f t="shared" ca="1" si="12"/>
        <v>1230.3271552000001</v>
      </c>
      <c r="E34" s="20">
        <f t="shared" ca="1" si="12"/>
        <v>1287.7957366193921</v>
      </c>
      <c r="F34" s="20">
        <f t="shared" ca="1" si="12"/>
        <v>1355.1461658488497</v>
      </c>
      <c r="G34" s="20">
        <f t="shared" ca="1" si="12"/>
        <v>1432.835475905415</v>
      </c>
      <c r="H34" s="20">
        <f t="shared" ca="1" si="12"/>
        <v>1521.4652193417608</v>
      </c>
      <c r="I34" s="20">
        <f t="shared" ca="1" si="12"/>
        <v>1621.7762900096034</v>
      </c>
      <c r="J34" s="20">
        <f t="shared" ca="1" si="12"/>
        <v>1734.6478878962371</v>
      </c>
      <c r="K34" s="20">
        <f t="shared" ca="1" si="12"/>
        <v>1861.09983766657</v>
      </c>
      <c r="L34" s="20">
        <f t="shared" ca="1" si="12"/>
        <v>2002.2977345772845</v>
      </c>
    </row>
    <row r="35" spans="1:12" x14ac:dyDescent="0.4">
      <c r="A35" s="15" t="s">
        <v>398</v>
      </c>
      <c r="B35" s="20"/>
      <c r="C35" s="20">
        <f t="shared" ref="C35:L35" ca="1" si="13">C33-B34*C30</f>
        <v>-78.935999999999979</v>
      </c>
      <c r="D35" s="20">
        <f t="shared" ca="1" si="13"/>
        <v>-73.429424640000008</v>
      </c>
      <c r="E35" s="20">
        <f t="shared" ca="1" si="13"/>
        <v>-68.762984704128002</v>
      </c>
      <c r="F35" s="20">
        <f t="shared" ca="1" si="13"/>
        <v>-64.777413347692047</v>
      </c>
      <c r="G35" s="20">
        <f t="shared" ca="1" si="13"/>
        <v>-61.348686559526712</v>
      </c>
      <c r="H35" s="20">
        <f t="shared" ca="1" si="13"/>
        <v>-58.379176391549805</v>
      </c>
      <c r="I35" s="20">
        <f t="shared" ca="1" si="13"/>
        <v>-55.791260836622129</v>
      </c>
      <c r="J35" s="20">
        <f t="shared" ca="1" si="13"/>
        <v>-53.522649468351517</v>
      </c>
      <c r="K35" s="20">
        <f t="shared" ca="1" si="13"/>
        <v>-51.522923527820936</v>
      </c>
      <c r="L35" s="20">
        <f t="shared" ca="1" si="13"/>
        <v>-49.75094643387564</v>
      </c>
    </row>
    <row r="36" spans="1:12" x14ac:dyDescent="0.4">
      <c r="A36" s="15" t="s">
        <v>399</v>
      </c>
      <c r="B36" s="62">
        <f ca="1">NPV($B$3,C35:L35)</f>
        <v>-390.03918613712949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753.96081386287051</v>
      </c>
      <c r="C38" s="63">
        <f ca="1">B38/(1+$B$3)^($H$8/365)</f>
        <v>770.0690238698329</v>
      </c>
    </row>
    <row r="39" spans="1:12" x14ac:dyDescent="0.4">
      <c r="A39" s="15" t="s">
        <v>363</v>
      </c>
      <c r="B39" s="23">
        <f ca="1">B38*100000000/($B$4-$B$5)</f>
        <v>3827.2122531110176</v>
      </c>
      <c r="C39" s="23">
        <f ca="1">B39/(1+$B$3)^($H$8/365)</f>
        <v>3908.9798165981365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-7.6666666666666661E-2</v>
      </c>
      <c r="C44" s="19">
        <f t="shared" ref="C44:L44" ca="1" si="16">IF(YEAR(C16)&gt;$J$7,0,B44*$B$41)</f>
        <v>-6.133333333333333E-2</v>
      </c>
      <c r="D44" s="19">
        <f t="shared" ca="1" si="16"/>
        <v>-4.9066666666666668E-2</v>
      </c>
      <c r="E44" s="19">
        <f t="shared" ca="1" si="16"/>
        <v>-3.9253333333333335E-2</v>
      </c>
      <c r="F44" s="19">
        <f t="shared" ca="1" si="16"/>
        <v>-3.1402666666666669E-2</v>
      </c>
      <c r="G44" s="19">
        <f t="shared" ca="1" si="16"/>
        <v>-2.5122133333333338E-2</v>
      </c>
      <c r="H44" s="19">
        <f t="shared" ca="1" si="16"/>
        <v>-2.0097706666666673E-2</v>
      </c>
      <c r="I44" s="19">
        <f t="shared" ca="1" si="16"/>
        <v>-1.6078165333333339E-2</v>
      </c>
      <c r="J44" s="19">
        <f t="shared" ca="1" si="16"/>
        <v>-1.2862532266666671E-2</v>
      </c>
      <c r="K44" s="19">
        <f t="shared" ca="1" si="16"/>
        <v>-1.0290025813333338E-2</v>
      </c>
      <c r="L44" s="19">
        <f t="shared" ca="1" si="16"/>
        <v>-8.2320206506666712E-3</v>
      </c>
    </row>
    <row r="45" spans="1:12" x14ac:dyDescent="0.4">
      <c r="A45" s="15" t="s">
        <v>249</v>
      </c>
      <c r="B45" s="19">
        <f t="shared" ref="B45:L45" ca="1" si="17">B43+B44</f>
        <v>2.5933333333333336E-2</v>
      </c>
      <c r="C45" s="19">
        <f t="shared" ca="1" si="17"/>
        <v>4.1266666666666667E-2</v>
      </c>
      <c r="D45" s="19">
        <f t="shared" ca="1" si="17"/>
        <v>5.3533333333333329E-2</v>
      </c>
      <c r="E45" s="19">
        <f t="shared" ca="1" si="17"/>
        <v>6.3346666666666662E-2</v>
      </c>
      <c r="F45" s="19">
        <f t="shared" ca="1" si="17"/>
        <v>7.1197333333333335E-2</v>
      </c>
      <c r="G45" s="19">
        <f t="shared" ca="1" si="17"/>
        <v>7.7477866666666659E-2</v>
      </c>
      <c r="H45" s="19">
        <f t="shared" ca="1" si="17"/>
        <v>8.2502293333333324E-2</v>
      </c>
      <c r="I45" s="19">
        <f t="shared" ca="1" si="17"/>
        <v>8.6521834666666658E-2</v>
      </c>
      <c r="J45" s="19">
        <f t="shared" ca="1" si="17"/>
        <v>8.9737467733333326E-2</v>
      </c>
      <c r="K45" s="19">
        <f t="shared" ca="1" si="17"/>
        <v>9.2309974186666657E-2</v>
      </c>
      <c r="L45" s="19">
        <f t="shared" ca="1" si="17"/>
        <v>9.4367979349333331E-2</v>
      </c>
    </row>
    <row r="46" spans="1:12" x14ac:dyDescent="0.4">
      <c r="A46" s="15" t="s">
        <v>385</v>
      </c>
      <c r="B46" s="20"/>
      <c r="C46" s="20">
        <f t="shared" ref="C46:L46" ca="1" si="18">B47*C45</f>
        <v>47.209066666666665</v>
      </c>
      <c r="D46" s="20">
        <f t="shared" ca="1" si="18"/>
        <v>63.769392035555541</v>
      </c>
      <c r="E46" s="20">
        <f t="shared" ca="1" si="18"/>
        <v>79.498702097256754</v>
      </c>
      <c r="F46" s="20">
        <f t="shared" ca="1" si="18"/>
        <v>95.011215243160748</v>
      </c>
      <c r="G46" s="20">
        <f t="shared" ca="1" si="18"/>
        <v>110.75370980058146</v>
      </c>
      <c r="H46" s="20">
        <f t="shared" ca="1" si="18"/>
        <v>127.07350437058257</v>
      </c>
      <c r="I46" s="20">
        <f t="shared" ca="1" si="18"/>
        <v>144.25920383363444</v>
      </c>
      <c r="J46" s="20">
        <f t="shared" ca="1" si="18"/>
        <v>162.56613462735194</v>
      </c>
      <c r="K46" s="20">
        <f t="shared" ca="1" si="18"/>
        <v>182.23289816681199</v>
      </c>
      <c r="L46" s="20">
        <f t="shared" ca="1" si="18"/>
        <v>203.49264076083116</v>
      </c>
    </row>
    <row r="47" spans="1:12" x14ac:dyDescent="0.4">
      <c r="A47" s="15" t="s">
        <v>383</v>
      </c>
      <c r="B47" s="20">
        <f ca="1">$F$8</f>
        <v>1144</v>
      </c>
      <c r="C47" s="20">
        <f t="shared" ref="C47:L47" ca="1" si="19">B47+C46</f>
        <v>1191.2090666666666</v>
      </c>
      <c r="D47" s="20">
        <f t="shared" ca="1" si="19"/>
        <v>1254.978458702222</v>
      </c>
      <c r="E47" s="20">
        <f t="shared" ca="1" si="19"/>
        <v>1334.4771607994787</v>
      </c>
      <c r="F47" s="20">
        <f t="shared" ca="1" si="19"/>
        <v>1429.4883760426394</v>
      </c>
      <c r="G47" s="20">
        <f t="shared" ca="1" si="19"/>
        <v>1540.2420858432208</v>
      </c>
      <c r="H47" s="20">
        <f t="shared" ca="1" si="19"/>
        <v>1667.3155902138035</v>
      </c>
      <c r="I47" s="20">
        <f t="shared" ca="1" si="19"/>
        <v>1811.574794047438</v>
      </c>
      <c r="J47" s="20">
        <f t="shared" ca="1" si="19"/>
        <v>1974.1409286747898</v>
      </c>
      <c r="K47" s="20">
        <f t="shared" ca="1" si="19"/>
        <v>2156.3738268416018</v>
      </c>
      <c r="L47" s="20">
        <f t="shared" ca="1" si="19"/>
        <v>2359.8664676024332</v>
      </c>
    </row>
    <row r="48" spans="1:12" x14ac:dyDescent="0.4">
      <c r="A48" s="15" t="s">
        <v>398</v>
      </c>
      <c r="B48" s="20"/>
      <c r="C48" s="20">
        <f t="shared" ref="C48:L48" ca="1" si="20">C46-B47*C43</f>
        <v>-70.165333333333336</v>
      </c>
      <c r="D48" s="20">
        <f t="shared" ca="1" si="20"/>
        <v>-58.448658204444442</v>
      </c>
      <c r="E48" s="20">
        <f t="shared" ca="1" si="20"/>
        <v>-49.262087765591232</v>
      </c>
      <c r="F48" s="20">
        <f t="shared" ca="1" si="20"/>
        <v>-41.906141454865761</v>
      </c>
      <c r="G48" s="20">
        <f t="shared" ca="1" si="20"/>
        <v>-35.911797581393344</v>
      </c>
      <c r="H48" s="20">
        <f t="shared" ca="1" si="20"/>
        <v>-30.955333636931883</v>
      </c>
      <c r="I48" s="20">
        <f t="shared" ca="1" si="20"/>
        <v>-26.807375722301799</v>
      </c>
      <c r="J48" s="20">
        <f t="shared" ca="1" si="20"/>
        <v>-23.301439241915176</v>
      </c>
      <c r="K48" s="20">
        <f t="shared" ca="1" si="20"/>
        <v>-20.313961115221446</v>
      </c>
      <c r="L48" s="20">
        <f t="shared" ca="1" si="20"/>
        <v>-17.751313873117169</v>
      </c>
    </row>
    <row r="49" spans="1:19" x14ac:dyDescent="0.4">
      <c r="A49" s="15" t="s">
        <v>399</v>
      </c>
      <c r="B49" s="62">
        <f ca="1">NPV($B$3,C48:L48)</f>
        <v>-255.39746512430901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888.60253487569094</v>
      </c>
      <c r="C51" s="63">
        <f ca="1">B51/(1+$B$3)^($H$8/365)</f>
        <v>907.5873361827521</v>
      </c>
    </row>
    <row r="52" spans="1:19" x14ac:dyDescent="0.4">
      <c r="A52" s="15" t="s">
        <v>363</v>
      </c>
      <c r="B52" s="23">
        <f ca="1">B51*100000000/($B$4-$B$5)</f>
        <v>4510.6727658664513</v>
      </c>
      <c r="C52" s="23">
        <f ca="1">B52/(1+$B$3)^($H$8/365)</f>
        <v>4607.0423156484876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181</v>
      </c>
      <c r="C56" s="76">
        <f t="shared" si="22"/>
        <v>50</v>
      </c>
      <c r="D56" s="76">
        <f t="shared" si="22"/>
        <v>43</v>
      </c>
      <c r="E56" s="76">
        <f t="shared" si="22"/>
        <v>20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29.667733333333338</v>
      </c>
      <c r="K56" s="179">
        <f t="shared" ca="1" si="24"/>
        <v>30.437116551111117</v>
      </c>
      <c r="L56" s="179">
        <f t="shared" ca="1" si="24"/>
        <v>31.226452440336598</v>
      </c>
      <c r="M56" s="179">
        <f t="shared" ca="1" si="24"/>
        <v>32.036258440289323</v>
      </c>
      <c r="N56" s="179">
        <f t="shared" ca="1" si="24"/>
        <v>32.867065409174167</v>
      </c>
      <c r="O56" s="179">
        <f t="shared" ca="1" si="24"/>
        <v>33.719417972118748</v>
      </c>
      <c r="P56" s="179">
        <f t="shared" ca="1" si="24"/>
        <v>34.593874878195692</v>
      </c>
      <c r="Q56" s="179">
        <f t="shared" ca="1" si="24"/>
        <v>35.491009366703565</v>
      </c>
      <c r="R56" s="179">
        <f t="shared" ca="1" si="24"/>
        <v>36.411409542946743</v>
      </c>
      <c r="S56" s="179">
        <f t="shared" ca="1" si="24"/>
        <v>37.355678763760501</v>
      </c>
    </row>
    <row r="57" spans="1:19" x14ac:dyDescent="0.4">
      <c r="A57" s="1" t="s">
        <v>403</v>
      </c>
      <c r="B57" s="76">
        <f t="shared" ref="B57:I57" si="25">E5</f>
        <v>181</v>
      </c>
      <c r="C57" s="76">
        <f t="shared" si="25"/>
        <v>50</v>
      </c>
      <c r="D57" s="76">
        <f t="shared" si="25"/>
        <v>43</v>
      </c>
      <c r="E57" s="76">
        <f t="shared" si="25"/>
        <v>20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38.438400000000009</v>
      </c>
      <c r="K57" s="179">
        <f t="shared" ca="1" si="26"/>
        <v>47.888755199999999</v>
      </c>
      <c r="L57" s="179">
        <f t="shared" ca="1" si="26"/>
        <v>57.468581419392009</v>
      </c>
      <c r="M57" s="179">
        <f t="shared" ca="1" si="26"/>
        <v>67.350429229457589</v>
      </c>
      <c r="N57" s="179">
        <f t="shared" ca="1" si="26"/>
        <v>77.689310056565276</v>
      </c>
      <c r="O57" s="179">
        <f t="shared" ca="1" si="26"/>
        <v>88.629743436345763</v>
      </c>
      <c r="P57" s="179">
        <f t="shared" ca="1" si="26"/>
        <v>100.31107066784251</v>
      </c>
      <c r="Q57" s="179">
        <f t="shared" ca="1" si="26"/>
        <v>112.87159788663379</v>
      </c>
      <c r="R57" s="179">
        <f t="shared" ca="1" si="26"/>
        <v>126.45194977033297</v>
      </c>
      <c r="S57" s="179">
        <f t="shared" ca="1" si="26"/>
        <v>141.19789691071443</v>
      </c>
    </row>
    <row r="58" spans="1:19" x14ac:dyDescent="0.4">
      <c r="A58" s="1" t="s">
        <v>404</v>
      </c>
      <c r="B58" s="76">
        <f t="shared" ref="B58:I58" si="27">E5</f>
        <v>181</v>
      </c>
      <c r="C58" s="76">
        <f t="shared" si="27"/>
        <v>50</v>
      </c>
      <c r="D58" s="76">
        <f t="shared" si="27"/>
        <v>43</v>
      </c>
      <c r="E58" s="76">
        <f t="shared" si="27"/>
        <v>20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47.209066666666665</v>
      </c>
      <c r="K58" s="179">
        <f t="shared" ca="1" si="28"/>
        <v>63.769392035555541</v>
      </c>
      <c r="L58" s="179">
        <f t="shared" ca="1" si="28"/>
        <v>79.498702097256754</v>
      </c>
      <c r="M58" s="179">
        <f t="shared" ca="1" si="28"/>
        <v>95.011215243160748</v>
      </c>
      <c r="N58" s="179">
        <f t="shared" ca="1" si="28"/>
        <v>110.75370980058146</v>
      </c>
      <c r="O58" s="179">
        <f t="shared" ca="1" si="28"/>
        <v>127.07350437058257</v>
      </c>
      <c r="P58" s="179">
        <f t="shared" ca="1" si="28"/>
        <v>144.25920383363444</v>
      </c>
      <c r="Q58" s="179">
        <f t="shared" ca="1" si="28"/>
        <v>162.56613462735194</v>
      </c>
      <c r="R58" s="179">
        <f t="shared" ca="1" si="28"/>
        <v>182.23289816681199</v>
      </c>
      <c r="S58" s="179">
        <f t="shared" ca="1" si="28"/>
        <v>203.49264076083116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181</v>
      </c>
      <c r="C62" s="76">
        <f t="shared" si="30"/>
        <v>50</v>
      </c>
      <c r="D62" s="76">
        <f t="shared" si="30"/>
        <v>43</v>
      </c>
      <c r="E62" s="76">
        <f t="shared" si="30"/>
        <v>20</v>
      </c>
      <c r="F62" s="76">
        <f t="shared" si="30"/>
        <v>0</v>
      </c>
      <c r="G62" s="76">
        <f t="shared" ca="1" si="30"/>
        <v>29.667733333333338</v>
      </c>
      <c r="H62" s="76">
        <f t="shared" ca="1" si="30"/>
        <v>30.437116551111117</v>
      </c>
      <c r="I62" s="76">
        <f t="shared" ca="1" si="30"/>
        <v>31.226452440336598</v>
      </c>
      <c r="J62" s="76">
        <f t="shared" ca="1" si="30"/>
        <v>32.036258440289323</v>
      </c>
      <c r="K62" s="76">
        <f t="shared" ca="1" si="30"/>
        <v>32.867065409174167</v>
      </c>
      <c r="L62" s="76">
        <f t="shared" ca="1" si="30"/>
        <v>33.719417972118748</v>
      </c>
      <c r="M62" s="76">
        <f t="shared" ca="1" si="30"/>
        <v>34.593874878195692</v>
      </c>
      <c r="N62" s="76">
        <f t="shared" ca="1" si="30"/>
        <v>35.491009366703565</v>
      </c>
      <c r="O62" s="76">
        <f t="shared" ca="1" si="30"/>
        <v>36.411409542946743</v>
      </c>
      <c r="P62" s="76">
        <f t="shared" ca="1" si="30"/>
        <v>37.355678763760501</v>
      </c>
    </row>
    <row r="63" spans="1:19" x14ac:dyDescent="0.4">
      <c r="A63" s="1" t="s">
        <v>403</v>
      </c>
      <c r="B63" s="76">
        <f t="shared" ref="B63:P63" si="31">HLOOKUP(B$60,$B$54:$S$58,4,FALSE)</f>
        <v>181</v>
      </c>
      <c r="C63" s="76">
        <f t="shared" si="31"/>
        <v>50</v>
      </c>
      <c r="D63" s="76">
        <f t="shared" si="31"/>
        <v>43</v>
      </c>
      <c r="E63" s="76">
        <f t="shared" si="31"/>
        <v>20</v>
      </c>
      <c r="F63" s="76">
        <f t="shared" si="31"/>
        <v>0</v>
      </c>
      <c r="G63" s="76">
        <f t="shared" ca="1" si="31"/>
        <v>38.438400000000009</v>
      </c>
      <c r="H63" s="76">
        <f t="shared" ca="1" si="31"/>
        <v>47.888755199999999</v>
      </c>
      <c r="I63" s="76">
        <f t="shared" ca="1" si="31"/>
        <v>57.468581419392009</v>
      </c>
      <c r="J63" s="76">
        <f t="shared" ca="1" si="31"/>
        <v>67.350429229457589</v>
      </c>
      <c r="K63" s="76">
        <f t="shared" ca="1" si="31"/>
        <v>77.689310056565276</v>
      </c>
      <c r="L63" s="76">
        <f t="shared" ca="1" si="31"/>
        <v>88.629743436345763</v>
      </c>
      <c r="M63" s="76">
        <f t="shared" ca="1" si="31"/>
        <v>100.31107066784251</v>
      </c>
      <c r="N63" s="76">
        <f t="shared" ca="1" si="31"/>
        <v>112.87159788663379</v>
      </c>
      <c r="O63" s="76">
        <f t="shared" ca="1" si="31"/>
        <v>126.45194977033297</v>
      </c>
      <c r="P63" s="76">
        <f t="shared" ca="1" si="31"/>
        <v>141.19789691071443</v>
      </c>
    </row>
    <row r="64" spans="1:19" x14ac:dyDescent="0.4">
      <c r="A64" s="1" t="s">
        <v>404</v>
      </c>
      <c r="B64" s="76">
        <f t="shared" ref="B64:P64" si="32">HLOOKUP(B$60,$B$54:$S$58,5,FALSE)</f>
        <v>181</v>
      </c>
      <c r="C64" s="76">
        <f t="shared" si="32"/>
        <v>50</v>
      </c>
      <c r="D64" s="76">
        <f t="shared" si="32"/>
        <v>43</v>
      </c>
      <c r="E64" s="76">
        <f t="shared" si="32"/>
        <v>20</v>
      </c>
      <c r="F64" s="76">
        <f t="shared" si="32"/>
        <v>0</v>
      </c>
      <c r="G64" s="76">
        <f t="shared" ca="1" si="32"/>
        <v>47.209066666666665</v>
      </c>
      <c r="H64" s="76">
        <f t="shared" ca="1" si="32"/>
        <v>63.769392035555541</v>
      </c>
      <c r="I64" s="76">
        <f t="shared" ca="1" si="32"/>
        <v>79.498702097256754</v>
      </c>
      <c r="J64" s="76">
        <f t="shared" ca="1" si="32"/>
        <v>95.011215243160748</v>
      </c>
      <c r="K64" s="76">
        <f t="shared" ca="1" si="32"/>
        <v>110.75370980058146</v>
      </c>
      <c r="L64" s="76">
        <f t="shared" ca="1" si="32"/>
        <v>127.07350437058257</v>
      </c>
      <c r="M64" s="76">
        <f t="shared" ca="1" si="32"/>
        <v>144.25920383363444</v>
      </c>
      <c r="N64" s="76">
        <f t="shared" ca="1" si="32"/>
        <v>162.56613462735194</v>
      </c>
      <c r="O64" s="76">
        <f t="shared" ca="1" si="32"/>
        <v>182.23289816681199</v>
      </c>
      <c r="P64" s="76">
        <f t="shared" ca="1" si="32"/>
        <v>203.49264076083116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2026-03-20T06:33:15Z</dcterms:modified>
</cp:coreProperties>
</file>