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B983F5D-FEA0-4DCE-A0CC-6E0AC245B9C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D101" i="6" s="1"/>
  <c r="E101" i="6" s="1"/>
  <c r="B88" i="6"/>
  <c r="C88" i="6" s="1"/>
  <c r="A79" i="6"/>
  <c r="H78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 s="1"/>
  <c r="B70" i="6" s="1"/>
  <c r="B66" i="6"/>
  <c r="B55" i="6"/>
  <c r="B52" i="6"/>
  <c r="C52" i="6" s="1"/>
  <c r="D52" i="6" s="1"/>
  <c r="B51" i="6"/>
  <c r="C51" i="6" s="1"/>
  <c r="B43" i="6"/>
  <c r="B39" i="6"/>
  <c r="C39" i="6" s="1"/>
  <c r="D39" i="6" s="1"/>
  <c r="B31" i="6"/>
  <c r="B27" i="6"/>
  <c r="B16" i="6"/>
  <c r="C16" i="6" s="1"/>
  <c r="B15" i="6"/>
  <c r="C15" i="6" s="1"/>
  <c r="G13" i="6"/>
  <c r="B8" i="6"/>
  <c r="G56" i="5"/>
  <c r="E55" i="5"/>
  <c r="E61" i="5" s="1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8" i="5" s="1"/>
  <c r="J5" i="5"/>
  <c r="G57" i="5" s="1"/>
  <c r="I5" i="5"/>
  <c r="F56" i="5" s="1"/>
  <c r="F62" i="5" s="1"/>
  <c r="H5" i="5"/>
  <c r="E56" i="5" s="1"/>
  <c r="E62" i="5" s="1"/>
  <c r="G5" i="5"/>
  <c r="D56" i="5" s="1"/>
  <c r="D62" i="5" s="1"/>
  <c r="F5" i="5"/>
  <c r="E5" i="5"/>
  <c r="B58" i="5" s="1"/>
  <c r="B64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G4" i="5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30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E23" i="3" s="1"/>
  <c r="G24" i="4"/>
  <c r="H24" i="4" s="1"/>
  <c r="G21" i="4"/>
  <c r="H21" i="4" s="1"/>
  <c r="G20" i="4"/>
  <c r="H20" i="4" s="1"/>
  <c r="H19" i="4"/>
  <c r="G19" i="4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E39" i="3" s="1"/>
  <c r="D34" i="3"/>
  <c r="D39" i="3" s="1"/>
  <c r="C34" i="3"/>
  <c r="C39" i="3" s="1"/>
  <c r="G33" i="3"/>
  <c r="F33" i="3"/>
  <c r="D24" i="3"/>
  <c r="C24" i="3"/>
  <c r="D23" i="3"/>
  <c r="C23" i="3"/>
  <c r="G22" i="3"/>
  <c r="F22" i="3"/>
  <c r="E22" i="3"/>
  <c r="D22" i="3"/>
  <c r="C22" i="3"/>
  <c r="G21" i="3"/>
  <c r="K21" i="3" s="1"/>
  <c r="F21" i="3"/>
  <c r="E21" i="3"/>
  <c r="E33" i="3" s="1"/>
  <c r="D21" i="3"/>
  <c r="D33" i="3" s="1"/>
  <c r="C21" i="3"/>
  <c r="C33" i="3" s="1"/>
  <c r="I20" i="3"/>
  <c r="E20" i="3" s="1"/>
  <c r="C17" i="3"/>
  <c r="AF10" i="3"/>
  <c r="B116" i="2"/>
  <c r="I74" i="4"/>
  <c r="D71" i="4"/>
  <c r="H74" i="4"/>
  <c r="C71" i="4"/>
  <c r="G74" i="4"/>
  <c r="B71" i="4"/>
  <c r="I19" i="4"/>
  <c r="D74" i="4"/>
  <c r="E70" i="4"/>
  <c r="B74" i="4"/>
  <c r="C70" i="4"/>
  <c r="F73" i="4"/>
  <c r="B70" i="4"/>
  <c r="E73" i="4"/>
  <c r="A70" i="4"/>
  <c r="I76" i="4"/>
  <c r="C73" i="4"/>
  <c r="H69" i="4"/>
  <c r="A69" i="4"/>
  <c r="I8" i="4"/>
  <c r="B68" i="4"/>
  <c r="C74" i="4"/>
  <c r="I21" i="4"/>
  <c r="I7" i="4"/>
  <c r="G76" i="4"/>
  <c r="I6" i="4"/>
  <c r="F76" i="4"/>
  <c r="I20" i="4"/>
  <c r="D76" i="4"/>
  <c r="I5" i="4"/>
  <c r="I75" i="4"/>
  <c r="G75" i="4"/>
  <c r="I18" i="4"/>
  <c r="I72" i="4"/>
  <c r="G72" i="4"/>
  <c r="E72" i="4"/>
  <c r="I17" i="4"/>
  <c r="I16" i="4"/>
  <c r="A13" i="4"/>
  <c r="D72" i="4"/>
  <c r="C72" i="4"/>
  <c r="G69" i="4"/>
  <c r="B69" i="4"/>
  <c r="B4" i="4"/>
  <c r="I60" i="4"/>
  <c r="B57" i="4"/>
  <c r="C53" i="6" l="1"/>
  <c r="C54" i="6" s="1"/>
  <c r="C56" i="6" s="1"/>
  <c r="D51" i="6"/>
  <c r="E51" i="6" s="1"/>
  <c r="B56" i="5"/>
  <c r="B62" i="5" s="1"/>
  <c r="L71" i="6"/>
  <c r="L70" i="6" s="1"/>
  <c r="C78" i="6" s="1"/>
  <c r="B115" i="6" s="1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D58" i="5"/>
  <c r="D64" i="5" s="1"/>
  <c r="E73" i="6"/>
  <c r="D57" i="5"/>
  <c r="D63" i="5" s="1"/>
  <c r="E77" i="6"/>
  <c r="G39" i="3"/>
  <c r="E57" i="5"/>
  <c r="E63" i="5" s="1"/>
  <c r="D73" i="6"/>
  <c r="F58" i="5"/>
  <c r="F64" i="5" s="1"/>
  <c r="G73" i="6"/>
  <c r="G58" i="5"/>
  <c r="C116" i="6"/>
  <c r="C117" i="6" s="1"/>
  <c r="C119" i="6" s="1"/>
  <c r="B77" i="6"/>
  <c r="C77" i="6"/>
  <c r="B57" i="5"/>
  <c r="B63" i="5" s="1"/>
  <c r="B73" i="6"/>
  <c r="D77" i="6"/>
  <c r="F39" i="3"/>
  <c r="C73" i="6"/>
  <c r="D53" i="6"/>
  <c r="C4" i="3"/>
  <c r="B11" i="3"/>
  <c r="B16" i="4"/>
  <c r="B17" i="4"/>
  <c r="B18" i="4"/>
  <c r="B5" i="4"/>
  <c r="C5" i="3" s="1"/>
  <c r="C27" i="3" s="1"/>
  <c r="B20" i="4"/>
  <c r="B6" i="4"/>
  <c r="C6" i="3" s="1"/>
  <c r="C7" i="4"/>
  <c r="E5" i="3" s="1"/>
  <c r="B7" i="4"/>
  <c r="B21" i="4"/>
  <c r="B8" i="4"/>
  <c r="B19" i="4"/>
  <c r="D88" i="6"/>
  <c r="H39" i="3"/>
  <c r="D16" i="5"/>
  <c r="J55" i="5"/>
  <c r="C30" i="5"/>
  <c r="J54" i="5"/>
  <c r="K54" i="5" s="1"/>
  <c r="L54" i="5" s="1"/>
  <c r="M54" i="5" s="1"/>
  <c r="N54" i="5" s="1"/>
  <c r="O54" i="5" s="1"/>
  <c r="P54" i="5" s="1"/>
  <c r="Q54" i="5" s="1"/>
  <c r="R54" i="5" s="1"/>
  <c r="S54" i="5" s="1"/>
  <c r="B17" i="5"/>
  <c r="B43" i="5"/>
  <c r="F51" i="6"/>
  <c r="B11" i="6"/>
  <c r="C14" i="6" s="1"/>
  <c r="B14" i="6"/>
  <c r="E39" i="6"/>
  <c r="E52" i="6"/>
  <c r="F52" i="6" s="1"/>
  <c r="G52" i="6" s="1"/>
  <c r="H52" i="6" s="1"/>
  <c r="I52" i="6" s="1"/>
  <c r="J52" i="6" s="1"/>
  <c r="K52" i="6" s="1"/>
  <c r="L52" i="6" s="1"/>
  <c r="C57" i="5"/>
  <c r="C63" i="5" s="1"/>
  <c r="C56" i="5"/>
  <c r="C62" i="5" s="1"/>
  <c r="C58" i="5"/>
  <c r="C64" i="5" s="1"/>
  <c r="D114" i="6"/>
  <c r="B40" i="6"/>
  <c r="C40" i="6" s="1"/>
  <c r="B41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F101" i="6"/>
  <c r="C27" i="6"/>
  <c r="E58" i="5"/>
  <c r="E64" i="5" s="1"/>
  <c r="B116" i="6"/>
  <c r="F79" i="6"/>
  <c r="B102" i="6"/>
  <c r="B89" i="6"/>
  <c r="F57" i="5"/>
  <c r="F63" i="5" s="1"/>
  <c r="B53" i="6"/>
  <c r="C55" i="6"/>
  <c r="H56" i="5"/>
  <c r="H57" i="5"/>
  <c r="F57" i="4"/>
  <c r="E62" i="4"/>
  <c r="G37" i="4"/>
  <c r="C51" i="4"/>
  <c r="C55" i="4"/>
  <c r="H59" i="4"/>
  <c r="I32" i="4"/>
  <c r="B52" i="4"/>
  <c r="G54" i="4"/>
  <c r="I36" i="4"/>
  <c r="C84" i="4"/>
  <c r="A68" i="4"/>
  <c r="A74" i="4"/>
  <c r="H70" i="4"/>
  <c r="I55" i="4"/>
  <c r="F60" i="4"/>
  <c r="A32" i="4"/>
  <c r="H39" i="4"/>
  <c r="B53" i="4"/>
  <c r="F56" i="4"/>
  <c r="F62" i="4"/>
  <c r="B39" i="4"/>
  <c r="E51" i="4"/>
  <c r="G57" i="4"/>
  <c r="F54" i="4"/>
  <c r="B76" i="4"/>
  <c r="H71" i="4"/>
  <c r="D68" i="4"/>
  <c r="G61" i="4"/>
  <c r="B54" i="4"/>
  <c r="E58" i="4"/>
  <c r="C62" i="4"/>
  <c r="G35" i="4"/>
  <c r="A51" i="4"/>
  <c r="H52" i="4"/>
  <c r="A59" i="4"/>
  <c r="A30" i="4"/>
  <c r="H38" i="4"/>
  <c r="A36" i="4"/>
  <c r="I56" i="4"/>
  <c r="D70" i="4"/>
  <c r="F69" i="4"/>
  <c r="C75" i="4"/>
  <c r="A60" i="4"/>
  <c r="C56" i="4"/>
  <c r="D60" i="4"/>
  <c r="H29" i="4"/>
  <c r="E39" i="4"/>
  <c r="I40" i="4"/>
  <c r="G55" i="4"/>
  <c r="G58" i="4"/>
  <c r="H72" i="4"/>
  <c r="A76" i="4"/>
  <c r="G70" i="4"/>
  <c r="E50" i="4"/>
  <c r="B58" i="4"/>
  <c r="I34" i="4"/>
  <c r="E52" i="4"/>
  <c r="D54" i="4"/>
  <c r="E56" i="4"/>
  <c r="A52" i="4"/>
  <c r="F59" i="4"/>
  <c r="D39" i="4"/>
  <c r="A27" i="4"/>
  <c r="D69" i="4"/>
  <c r="A72" i="4"/>
  <c r="I35" i="4"/>
  <c r="I42" i="4"/>
  <c r="D57" i="4"/>
  <c r="C59" i="4"/>
  <c r="A39" i="4"/>
  <c r="A28" i="4"/>
  <c r="A53" i="4"/>
  <c r="I31" i="4"/>
  <c r="H37" i="4"/>
  <c r="H51" i="4"/>
  <c r="D55" i="4"/>
  <c r="H56" i="4"/>
  <c r="D56" i="4"/>
  <c r="B62" i="4"/>
  <c r="I29" i="4"/>
  <c r="B61" i="4"/>
  <c r="E74" i="4"/>
  <c r="D52" i="4"/>
  <c r="E54" i="4"/>
  <c r="A57" i="4"/>
  <c r="C58" i="4"/>
  <c r="C54" i="4"/>
  <c r="F61" i="4"/>
  <c r="I33" i="4"/>
  <c r="A55" i="4"/>
  <c r="A71" i="4"/>
  <c r="I73" i="4"/>
  <c r="C68" i="4"/>
  <c r="F39" i="4"/>
  <c r="A56" i="4"/>
  <c r="A29" i="4"/>
  <c r="I62" i="4"/>
  <c r="G51" i="4"/>
  <c r="F53" i="4"/>
  <c r="F71" i="4"/>
  <c r="H54" i="4"/>
  <c r="H53" i="4"/>
  <c r="C60" i="4"/>
  <c r="H32" i="4"/>
  <c r="G53" i="4"/>
  <c r="E76" i="4"/>
  <c r="E69" i="4"/>
  <c r="A75" i="4"/>
  <c r="D51" i="4"/>
  <c r="I41" i="4"/>
  <c r="G52" i="4"/>
  <c r="D61" i="4"/>
  <c r="H34" i="4"/>
  <c r="F72" i="4"/>
  <c r="I59" i="4"/>
  <c r="A37" i="4"/>
  <c r="A44" i="4"/>
  <c r="F55" i="4"/>
  <c r="F58" i="4"/>
  <c r="F70" i="4"/>
  <c r="C69" i="4"/>
  <c r="B60" i="4"/>
  <c r="H60" i="4"/>
  <c r="H75" i="4"/>
  <c r="A11" i="4"/>
  <c r="I27" i="4"/>
  <c r="A43" i="4"/>
  <c r="B56" i="4"/>
  <c r="G59" i="4"/>
  <c r="G56" i="4"/>
  <c r="B59" i="4"/>
  <c r="I30" i="4"/>
  <c r="B50" i="4"/>
  <c r="H73" i="4"/>
  <c r="G62" i="4"/>
  <c r="A54" i="4"/>
  <c r="E61" i="4"/>
  <c r="H55" i="4"/>
  <c r="I28" i="4"/>
  <c r="I71" i="4"/>
  <c r="B72" i="4"/>
  <c r="A33" i="4"/>
  <c r="I51" i="4"/>
  <c r="E55" i="4"/>
  <c r="E59" i="4"/>
  <c r="F52" i="4"/>
  <c r="H58" i="4"/>
  <c r="C61" i="4"/>
  <c r="D73" i="4"/>
  <c r="D75" i="4"/>
  <c r="I24" i="4"/>
  <c r="D53" i="4"/>
  <c r="I39" i="4"/>
  <c r="D84" i="4"/>
  <c r="C76" i="4"/>
  <c r="A73" i="4"/>
  <c r="F74" i="4"/>
  <c r="G73" i="4"/>
  <c r="I61" i="4"/>
  <c r="G32" i="4"/>
  <c r="C53" i="4"/>
  <c r="E53" i="4"/>
  <c r="I58" i="4"/>
  <c r="F50" i="4"/>
  <c r="E71" i="4"/>
  <c r="A41" i="4"/>
  <c r="D62" i="4"/>
  <c r="B51" i="4"/>
  <c r="A40" i="4"/>
  <c r="D50" i="4"/>
  <c r="I37" i="4"/>
  <c r="I57" i="4"/>
  <c r="E60" i="4"/>
  <c r="A31" i="4"/>
  <c r="G39" i="4"/>
  <c r="G34" i="4"/>
  <c r="H33" i="4"/>
  <c r="C52" i="4"/>
  <c r="I54" i="4"/>
  <c r="C50" i="4"/>
  <c r="H35" i="4"/>
  <c r="E68" i="4"/>
  <c r="E75" i="4"/>
  <c r="A12" i="4"/>
  <c r="G33" i="4"/>
  <c r="I53" i="4"/>
  <c r="D58" i="4"/>
  <c r="H61" i="4"/>
  <c r="A35" i="4"/>
  <c r="H62" i="4"/>
  <c r="C39" i="4"/>
  <c r="F51" i="4"/>
  <c r="B73" i="4"/>
  <c r="G29" i="4"/>
  <c r="I38" i="4"/>
  <c r="H76" i="4"/>
  <c r="I70" i="4"/>
  <c r="I66" i="4"/>
  <c r="G38" i="4"/>
  <c r="E57" i="4"/>
  <c r="I52" i="4"/>
  <c r="A62" i="4"/>
  <c r="G60" i="4"/>
  <c r="B75" i="4"/>
  <c r="F68" i="4"/>
  <c r="A61" i="4"/>
  <c r="I43" i="4"/>
  <c r="A38" i="4"/>
  <c r="D86" i="4"/>
  <c r="I69" i="4"/>
  <c r="F75" i="4"/>
  <c r="D59" i="4"/>
  <c r="A42" i="4"/>
  <c r="C57" i="4"/>
  <c r="A34" i="4"/>
  <c r="B55" i="4"/>
  <c r="A58" i="4"/>
  <c r="H57" i="4"/>
  <c r="G71" i="4"/>
  <c r="B38" i="3" l="1"/>
  <c r="E43" i="3"/>
  <c r="K68" i="4"/>
  <c r="K75" i="4"/>
  <c r="D36" i="3"/>
  <c r="B10" i="3"/>
  <c r="H36" i="3"/>
  <c r="K51" i="4"/>
  <c r="B37" i="3"/>
  <c r="H21" i="3"/>
  <c r="M4" i="5"/>
  <c r="K50" i="4"/>
  <c r="J21" i="3" s="1"/>
  <c r="E41" i="3"/>
  <c r="B9" i="3"/>
  <c r="K60" i="4"/>
  <c r="K69" i="4"/>
  <c r="K72" i="4"/>
  <c r="G36" i="3"/>
  <c r="L5" i="5"/>
  <c r="B36" i="3"/>
  <c r="E36" i="3"/>
  <c r="E24" i="3"/>
  <c r="L2" i="5"/>
  <c r="F36" i="3"/>
  <c r="C36" i="3"/>
  <c r="D41" i="3"/>
  <c r="L3" i="5"/>
  <c r="K55" i="4"/>
  <c r="B92" i="6"/>
  <c r="F78" i="6"/>
  <c r="H79" i="6" s="1"/>
  <c r="E6" i="3"/>
  <c r="B5" i="5"/>
  <c r="C43" i="5"/>
  <c r="E16" i="5"/>
  <c r="K55" i="5"/>
  <c r="H61" i="5" s="1"/>
  <c r="D27" i="6"/>
  <c r="C29" i="6"/>
  <c r="C30" i="6" s="1"/>
  <c r="G101" i="6"/>
  <c r="E114" i="6"/>
  <c r="D116" i="6"/>
  <c r="C17" i="5"/>
  <c r="B4" i="5"/>
  <c r="E4" i="3"/>
  <c r="D54" i="6"/>
  <c r="D56" i="6" s="1"/>
  <c r="D55" i="6"/>
  <c r="B29" i="6"/>
  <c r="G61" i="5"/>
  <c r="F39" i="6"/>
  <c r="H35" i="3"/>
  <c r="D40" i="6"/>
  <c r="C41" i="6"/>
  <c r="C42" i="6" s="1"/>
  <c r="D30" i="5"/>
  <c r="C89" i="6"/>
  <c r="B90" i="6"/>
  <c r="C118" i="6"/>
  <c r="E53" i="6"/>
  <c r="C102" i="6"/>
  <c r="B103" i="6"/>
  <c r="G51" i="6"/>
  <c r="F53" i="6"/>
  <c r="E88" i="6"/>
  <c r="E27" i="6" l="1"/>
  <c r="D29" i="6"/>
  <c r="D117" i="6"/>
  <c r="D119" i="6" s="1"/>
  <c r="N21" i="3"/>
  <c r="L21" i="3"/>
  <c r="M21" i="3" s="1"/>
  <c r="E40" i="6"/>
  <c r="D41" i="6"/>
  <c r="D102" i="6"/>
  <c r="C103" i="6"/>
  <c r="C104" i="6" s="1"/>
  <c r="C32" i="6"/>
  <c r="C31" i="6"/>
  <c r="C44" i="6"/>
  <c r="C43" i="6"/>
  <c r="D89" i="6"/>
  <c r="C90" i="6"/>
  <c r="C91" i="6" s="1"/>
  <c r="C93" i="6" s="1"/>
  <c r="D17" i="5"/>
  <c r="G39" i="6"/>
  <c r="F16" i="5"/>
  <c r="L55" i="5"/>
  <c r="I61" i="5" s="1"/>
  <c r="K61" i="4"/>
  <c r="F88" i="6"/>
  <c r="F114" i="6"/>
  <c r="E116" i="6"/>
  <c r="E30" i="5"/>
  <c r="AF7" i="3"/>
  <c r="D43" i="5"/>
  <c r="I57" i="5"/>
  <c r="I58" i="5"/>
  <c r="I56" i="5"/>
  <c r="E54" i="6"/>
  <c r="E56" i="6" s="1"/>
  <c r="E55" i="6"/>
  <c r="H101" i="6"/>
  <c r="H51" i="6"/>
  <c r="G53" i="6"/>
  <c r="K76" i="4"/>
  <c r="H53" i="6" l="1"/>
  <c r="I51" i="6"/>
  <c r="G16" i="5"/>
  <c r="M55" i="5"/>
  <c r="J61" i="5" s="1"/>
  <c r="F40" i="6"/>
  <c r="E41" i="6"/>
  <c r="E43" i="5"/>
  <c r="E17" i="5"/>
  <c r="F30" i="5"/>
  <c r="E89" i="6"/>
  <c r="D90" i="6"/>
  <c r="F116" i="6"/>
  <c r="G114" i="6"/>
  <c r="G88" i="6"/>
  <c r="D30" i="6"/>
  <c r="D32" i="6" s="1"/>
  <c r="D31" i="6"/>
  <c r="I101" i="6"/>
  <c r="M5" i="5"/>
  <c r="M3" i="5"/>
  <c r="K78" i="4"/>
  <c r="C106" i="6"/>
  <c r="C105" i="6"/>
  <c r="F54" i="6"/>
  <c r="F56" i="6" s="1"/>
  <c r="E102" i="6"/>
  <c r="D103" i="6"/>
  <c r="H39" i="6"/>
  <c r="D118" i="6"/>
  <c r="C92" i="6"/>
  <c r="D42" i="6"/>
  <c r="D44" i="6" s="1"/>
  <c r="D43" i="6"/>
  <c r="F27" i="6"/>
  <c r="E29" i="6"/>
  <c r="H22" i="3" l="1"/>
  <c r="M2" i="5"/>
  <c r="E42" i="6"/>
  <c r="E44" i="6" s="1"/>
  <c r="J101" i="6"/>
  <c r="D91" i="6"/>
  <c r="D93" i="6" s="1"/>
  <c r="E30" i="6"/>
  <c r="E32" i="6" s="1"/>
  <c r="G40" i="6"/>
  <c r="F41" i="6"/>
  <c r="E117" i="6"/>
  <c r="E119" i="6" s="1"/>
  <c r="H88" i="6"/>
  <c r="G116" i="6"/>
  <c r="H114" i="6"/>
  <c r="N55" i="5"/>
  <c r="K61" i="5" s="1"/>
  <c r="H16" i="5"/>
  <c r="F102" i="6"/>
  <c r="E103" i="6"/>
  <c r="F89" i="6"/>
  <c r="E90" i="6"/>
  <c r="I53" i="6"/>
  <c r="J51" i="6"/>
  <c r="F55" i="6"/>
  <c r="G30" i="5"/>
  <c r="D104" i="6"/>
  <c r="D106" i="6" s="1"/>
  <c r="F17" i="5"/>
  <c r="G27" i="6"/>
  <c r="F29" i="6"/>
  <c r="F43" i="5"/>
  <c r="I39" i="6"/>
  <c r="E31" i="6" l="1"/>
  <c r="F31" i="6" s="1"/>
  <c r="D105" i="6"/>
  <c r="J39" i="6"/>
  <c r="G89" i="6"/>
  <c r="F90" i="6"/>
  <c r="G102" i="6"/>
  <c r="F103" i="6"/>
  <c r="G43" i="5"/>
  <c r="D92" i="6"/>
  <c r="H27" i="6"/>
  <c r="G29" i="6"/>
  <c r="O55" i="5"/>
  <c r="L61" i="5" s="1"/>
  <c r="I16" i="5"/>
  <c r="K101" i="6"/>
  <c r="G54" i="6"/>
  <c r="G56" i="6" s="1"/>
  <c r="G55" i="6"/>
  <c r="F30" i="6"/>
  <c r="F32" i="6" s="1"/>
  <c r="K51" i="6"/>
  <c r="J53" i="6"/>
  <c r="E118" i="6"/>
  <c r="H40" i="6"/>
  <c r="G41" i="6"/>
  <c r="G17" i="5"/>
  <c r="E43" i="6"/>
  <c r="E104" i="6"/>
  <c r="E106" i="6" s="1"/>
  <c r="E105" i="6"/>
  <c r="I114" i="6"/>
  <c r="H116" i="6"/>
  <c r="AF9" i="3"/>
  <c r="F24" i="3"/>
  <c r="AF8" i="3" s="1"/>
  <c r="D20" i="3" s="1"/>
  <c r="B7" i="5" s="1"/>
  <c r="I21" i="3"/>
  <c r="G24" i="3" s="1"/>
  <c r="AF6" i="3" s="1"/>
  <c r="J22" i="3"/>
  <c r="I22" i="3"/>
  <c r="H30" i="5"/>
  <c r="I88" i="6"/>
  <c r="I40" i="6" l="1"/>
  <c r="H41" i="6"/>
  <c r="B44" i="5"/>
  <c r="B18" i="5"/>
  <c r="F8" i="5"/>
  <c r="B31" i="5"/>
  <c r="H54" i="6"/>
  <c r="H56" i="6" s="1"/>
  <c r="H55" i="6"/>
  <c r="H102" i="6"/>
  <c r="G103" i="6"/>
  <c r="J88" i="6"/>
  <c r="H43" i="5"/>
  <c r="G30" i="6"/>
  <c r="G32" i="6" s="1"/>
  <c r="G31" i="6"/>
  <c r="P55" i="5"/>
  <c r="M61" i="5" s="1"/>
  <c r="J16" i="5"/>
  <c r="I30" i="5"/>
  <c r="H29" i="6"/>
  <c r="I27" i="6"/>
  <c r="F117" i="6"/>
  <c r="F119" i="6" s="1"/>
  <c r="F118" i="6"/>
  <c r="E91" i="6"/>
  <c r="E93" i="6" s="1"/>
  <c r="L51" i="6"/>
  <c r="L53" i="6" s="1"/>
  <c r="K53" i="6"/>
  <c r="H89" i="6"/>
  <c r="G90" i="6"/>
  <c r="I116" i="6"/>
  <c r="J114" i="6"/>
  <c r="L101" i="6"/>
  <c r="K39" i="6"/>
  <c r="F104" i="6"/>
  <c r="F106" i="6" s="1"/>
  <c r="F105" i="6"/>
  <c r="F42" i="6"/>
  <c r="F44" i="6" s="1"/>
  <c r="H17" i="5"/>
  <c r="H30" i="6" l="1"/>
  <c r="H32" i="6" s="1"/>
  <c r="H31" i="6"/>
  <c r="I17" i="5"/>
  <c r="I43" i="5"/>
  <c r="E92" i="6"/>
  <c r="F43" i="6"/>
  <c r="G117" i="6"/>
  <c r="G119" i="6" s="1"/>
  <c r="K88" i="6"/>
  <c r="G104" i="6"/>
  <c r="G106" i="6" s="1"/>
  <c r="G105" i="6"/>
  <c r="I29" i="6"/>
  <c r="J27" i="6"/>
  <c r="I102" i="6"/>
  <c r="H103" i="6"/>
  <c r="I54" i="6"/>
  <c r="I56" i="6" s="1"/>
  <c r="I55" i="6"/>
  <c r="I89" i="6"/>
  <c r="H90" i="6"/>
  <c r="L39" i="6"/>
  <c r="J30" i="5"/>
  <c r="B32" i="5"/>
  <c r="C31" i="5"/>
  <c r="Q55" i="5"/>
  <c r="N61" i="5" s="1"/>
  <c r="K16" i="5"/>
  <c r="B21" i="5"/>
  <c r="B47" i="5"/>
  <c r="B34" i="5"/>
  <c r="C18" i="5"/>
  <c r="B19" i="5"/>
  <c r="J116" i="6"/>
  <c r="K114" i="6"/>
  <c r="C44" i="5"/>
  <c r="B45" i="5"/>
  <c r="J40" i="6"/>
  <c r="I41" i="6"/>
  <c r="J43" i="5" l="1"/>
  <c r="J54" i="6"/>
  <c r="J56" i="6" s="1"/>
  <c r="J55" i="6"/>
  <c r="K40" i="6"/>
  <c r="J41" i="6"/>
  <c r="L88" i="6"/>
  <c r="K30" i="5"/>
  <c r="F91" i="6"/>
  <c r="F93" i="6" s="1"/>
  <c r="F92" i="6"/>
  <c r="J89" i="6"/>
  <c r="I90" i="6"/>
  <c r="H104" i="6"/>
  <c r="H106" i="6" s="1"/>
  <c r="C32" i="5"/>
  <c r="C33" i="5" s="1"/>
  <c r="D31" i="5"/>
  <c r="D44" i="5"/>
  <c r="C45" i="5"/>
  <c r="C46" i="5" s="1"/>
  <c r="K116" i="6"/>
  <c r="L114" i="6"/>
  <c r="L116" i="6" s="1"/>
  <c r="G118" i="6"/>
  <c r="G42" i="6"/>
  <c r="G44" i="6" s="1"/>
  <c r="D18" i="5"/>
  <c r="C19" i="5"/>
  <c r="C20" i="5"/>
  <c r="C21" i="5"/>
  <c r="J17" i="5"/>
  <c r="J102" i="6"/>
  <c r="I103" i="6"/>
  <c r="I30" i="6"/>
  <c r="I32" i="6" s="1"/>
  <c r="R55" i="5"/>
  <c r="O61" i="5" s="1"/>
  <c r="L16" i="5"/>
  <c r="K27" i="6"/>
  <c r="J29" i="6"/>
  <c r="G43" i="6" l="1"/>
  <c r="J58" i="5"/>
  <c r="G64" i="5" s="1"/>
  <c r="C48" i="5"/>
  <c r="C47" i="5"/>
  <c r="H42" i="6"/>
  <c r="H44" i="6" s="1"/>
  <c r="G91" i="6"/>
  <c r="G93" i="6" s="1"/>
  <c r="I31" i="6"/>
  <c r="E44" i="5"/>
  <c r="D45" i="5"/>
  <c r="D32" i="5"/>
  <c r="E31" i="5"/>
  <c r="L40" i="6"/>
  <c r="L41" i="6" s="1"/>
  <c r="K41" i="6"/>
  <c r="K17" i="5"/>
  <c r="H105" i="6"/>
  <c r="H117" i="6"/>
  <c r="H119" i="6" s="1"/>
  <c r="H118" i="6"/>
  <c r="K102" i="6"/>
  <c r="J103" i="6"/>
  <c r="C35" i="5"/>
  <c r="J57" i="5"/>
  <c r="G63" i="5" s="1"/>
  <c r="S55" i="5"/>
  <c r="P61" i="5" s="1"/>
  <c r="L30" i="5"/>
  <c r="C22" i="5"/>
  <c r="J56" i="5"/>
  <c r="G62" i="5" s="1"/>
  <c r="C34" i="5"/>
  <c r="K54" i="6"/>
  <c r="K56" i="6" s="1"/>
  <c r="L27" i="6"/>
  <c r="L29" i="6" s="1"/>
  <c r="K29" i="6"/>
  <c r="E18" i="5"/>
  <c r="D19" i="5"/>
  <c r="D20" i="5" s="1"/>
  <c r="K89" i="6"/>
  <c r="J90" i="6"/>
  <c r="K43" i="5"/>
  <c r="G92" i="6" l="1"/>
  <c r="D22" i="5"/>
  <c r="K56" i="5"/>
  <c r="H62" i="5" s="1"/>
  <c r="D21" i="5"/>
  <c r="J30" i="6"/>
  <c r="J32" i="6" s="1"/>
  <c r="J31" i="6"/>
  <c r="L17" i="5"/>
  <c r="L43" i="5"/>
  <c r="F44" i="5"/>
  <c r="E45" i="5"/>
  <c r="D33" i="5"/>
  <c r="E32" i="5"/>
  <c r="F31" i="5"/>
  <c r="L89" i="6"/>
  <c r="L90" i="6" s="1"/>
  <c r="K90" i="6"/>
  <c r="F18" i="5"/>
  <c r="E19" i="5"/>
  <c r="H91" i="6"/>
  <c r="H93" i="6" s="1"/>
  <c r="L102" i="6"/>
  <c r="L103" i="6" s="1"/>
  <c r="K103" i="6"/>
  <c r="H43" i="6"/>
  <c r="K55" i="6"/>
  <c r="I117" i="6"/>
  <c r="I119" i="6" s="1"/>
  <c r="D46" i="5"/>
  <c r="D47" i="5"/>
  <c r="I105" i="6"/>
  <c r="I104" i="6"/>
  <c r="I106" i="6" s="1"/>
  <c r="I118" i="6" l="1"/>
  <c r="K30" i="6"/>
  <c r="K32" i="6" s="1"/>
  <c r="K31" i="6"/>
  <c r="E20" i="5"/>
  <c r="E21" i="5" s="1"/>
  <c r="F32" i="5"/>
  <c r="G31" i="5"/>
  <c r="E46" i="5"/>
  <c r="D48" i="5"/>
  <c r="K58" i="5"/>
  <c r="H64" i="5" s="1"/>
  <c r="D35" i="5"/>
  <c r="K57" i="5"/>
  <c r="H63" i="5" s="1"/>
  <c r="J117" i="6"/>
  <c r="J119" i="6" s="1"/>
  <c r="J118" i="6"/>
  <c r="D34" i="5"/>
  <c r="L55" i="6"/>
  <c r="L54" i="6"/>
  <c r="L56" i="6" s="1"/>
  <c r="B57" i="6" s="1"/>
  <c r="B58" i="6" s="1"/>
  <c r="G44" i="5"/>
  <c r="F45" i="5"/>
  <c r="I42" i="6"/>
  <c r="I44" i="6" s="1"/>
  <c r="I43" i="6"/>
  <c r="H92" i="6"/>
  <c r="G18" i="5"/>
  <c r="F19" i="5"/>
  <c r="J104" i="6"/>
  <c r="J106" i="6" s="1"/>
  <c r="H31" i="5" l="1"/>
  <c r="G32" i="5"/>
  <c r="J42" i="6"/>
  <c r="J44" i="6" s="1"/>
  <c r="E22" i="5"/>
  <c r="L56" i="5"/>
  <c r="I62" i="5" s="1"/>
  <c r="H44" i="5"/>
  <c r="G45" i="5"/>
  <c r="E33" i="5"/>
  <c r="K117" i="6"/>
  <c r="K119" i="6" s="1"/>
  <c r="J105" i="6"/>
  <c r="H18" i="5"/>
  <c r="G19" i="5"/>
  <c r="L58" i="5"/>
  <c r="I64" i="5" s="1"/>
  <c r="E48" i="5"/>
  <c r="I91" i="6"/>
  <c r="I93" i="6" s="1"/>
  <c r="E47" i="5"/>
  <c r="F20" i="5"/>
  <c r="L30" i="6"/>
  <c r="L32" i="6" s="1"/>
  <c r="B33" i="6" s="1"/>
  <c r="B34" i="6" s="1"/>
  <c r="B23" i="6"/>
  <c r="B59" i="6"/>
  <c r="C23" i="6" s="1"/>
  <c r="K118" i="6" l="1"/>
  <c r="L117" i="6"/>
  <c r="L119" i="6" s="1"/>
  <c r="B120" i="6" s="1"/>
  <c r="B122" i="6" s="1"/>
  <c r="I18" i="5"/>
  <c r="H19" i="5"/>
  <c r="E35" i="5"/>
  <c r="L57" i="5"/>
  <c r="I63" i="5" s="1"/>
  <c r="L31" i="6"/>
  <c r="E34" i="5"/>
  <c r="F22" i="5"/>
  <c r="M56" i="5"/>
  <c r="J62" i="5" s="1"/>
  <c r="F21" i="5"/>
  <c r="I44" i="5"/>
  <c r="H45" i="5"/>
  <c r="F46" i="5"/>
  <c r="F47" i="5"/>
  <c r="I92" i="6"/>
  <c r="J43" i="6"/>
  <c r="K104" i="6"/>
  <c r="K106" i="6" s="1"/>
  <c r="K105" i="6"/>
  <c r="B35" i="6"/>
  <c r="C21" i="6" s="1"/>
  <c r="B21" i="6"/>
  <c r="I31" i="5"/>
  <c r="H32" i="5"/>
  <c r="M58" i="5" l="1"/>
  <c r="J64" i="5" s="1"/>
  <c r="F48" i="5"/>
  <c r="J44" i="5"/>
  <c r="I45" i="5"/>
  <c r="G20" i="5"/>
  <c r="F33" i="5"/>
  <c r="F34" i="5" s="1"/>
  <c r="J31" i="5"/>
  <c r="I32" i="5"/>
  <c r="G46" i="5"/>
  <c r="G47" i="5"/>
  <c r="L104" i="6"/>
  <c r="L106" i="6" s="1"/>
  <c r="B107" i="6" s="1"/>
  <c r="B109" i="6" s="1"/>
  <c r="J18" i="5"/>
  <c r="I19" i="5"/>
  <c r="K42" i="6"/>
  <c r="K44" i="6" s="1"/>
  <c r="K43" i="6"/>
  <c r="B123" i="6"/>
  <c r="C123" i="6" s="1"/>
  <c r="C84" i="6" s="1"/>
  <c r="C122" i="6"/>
  <c r="B84" i="6" s="1"/>
  <c r="J91" i="6"/>
  <c r="J93" i="6" s="1"/>
  <c r="J92" i="6"/>
  <c r="L118" i="6"/>
  <c r="K18" i="5" l="1"/>
  <c r="J19" i="5"/>
  <c r="B110" i="6"/>
  <c r="C110" i="6" s="1"/>
  <c r="C83" i="6" s="1"/>
  <c r="C109" i="6"/>
  <c r="B83" i="6" s="1"/>
  <c r="L105" i="6"/>
  <c r="H46" i="5"/>
  <c r="H47" i="5" s="1"/>
  <c r="G48" i="5"/>
  <c r="N58" i="5"/>
  <c r="K64" i="5" s="1"/>
  <c r="J32" i="5"/>
  <c r="K31" i="5"/>
  <c r="G33" i="5"/>
  <c r="M57" i="5"/>
  <c r="J63" i="5" s="1"/>
  <c r="F35" i="5"/>
  <c r="K91" i="6"/>
  <c r="K93" i="6" s="1"/>
  <c r="G22" i="5"/>
  <c r="N56" i="5"/>
  <c r="K62" i="5" s="1"/>
  <c r="G21" i="5"/>
  <c r="K44" i="5"/>
  <c r="J45" i="5"/>
  <c r="L42" i="6"/>
  <c r="L44" i="6" s="1"/>
  <c r="B45" i="6" s="1"/>
  <c r="B46" i="6" s="1"/>
  <c r="L43" i="6"/>
  <c r="G35" i="5" l="1"/>
  <c r="N57" i="5"/>
  <c r="K63" i="5" s="1"/>
  <c r="L31" i="5"/>
  <c r="L32" i="5" s="1"/>
  <c r="K32" i="5"/>
  <c r="I46" i="5"/>
  <c r="I47" i="5" s="1"/>
  <c r="H20" i="5"/>
  <c r="L18" i="5"/>
  <c r="L19" i="5" s="1"/>
  <c r="K19" i="5"/>
  <c r="K92" i="6"/>
  <c r="G34" i="5"/>
  <c r="B22" i="6"/>
  <c r="B47" i="6"/>
  <c r="C22" i="6" s="1"/>
  <c r="H48" i="5"/>
  <c r="O58" i="5"/>
  <c r="L64" i="5" s="1"/>
  <c r="L44" i="5"/>
  <c r="L45" i="5" s="1"/>
  <c r="K45" i="5"/>
  <c r="H33" i="5" l="1"/>
  <c r="J46" i="5"/>
  <c r="L91" i="6"/>
  <c r="L93" i="6" s="1"/>
  <c r="B94" i="6" s="1"/>
  <c r="B96" i="6" s="1"/>
  <c r="O56" i="5"/>
  <c r="L62" i="5" s="1"/>
  <c r="H22" i="5"/>
  <c r="H21" i="5"/>
  <c r="I48" i="5"/>
  <c r="P58" i="5"/>
  <c r="M64" i="5" s="1"/>
  <c r="L92" i="6" l="1"/>
  <c r="I20" i="5"/>
  <c r="I21" i="5"/>
  <c r="B97" i="6"/>
  <c r="C97" i="6" s="1"/>
  <c r="C82" i="6" s="1"/>
  <c r="C96" i="6"/>
  <c r="B82" i="6" s="1"/>
  <c r="Q58" i="5"/>
  <c r="N64" i="5" s="1"/>
  <c r="J48" i="5"/>
  <c r="J47" i="5"/>
  <c r="H35" i="5"/>
  <c r="O57" i="5"/>
  <c r="L63" i="5" s="1"/>
  <c r="H34" i="5"/>
  <c r="I33" i="5" l="1"/>
  <c r="I34" i="5"/>
  <c r="J20" i="5"/>
  <c r="J21" i="5"/>
  <c r="P56" i="5"/>
  <c r="M62" i="5" s="1"/>
  <c r="I22" i="5"/>
  <c r="K46" i="5"/>
  <c r="K47" i="5"/>
  <c r="L46" i="5" l="1"/>
  <c r="K48" i="5"/>
  <c r="R58" i="5"/>
  <c r="O64" i="5" s="1"/>
  <c r="K20" i="5"/>
  <c r="K21" i="5" s="1"/>
  <c r="Q56" i="5"/>
  <c r="N62" i="5" s="1"/>
  <c r="J22" i="5"/>
  <c r="J33" i="5"/>
  <c r="J34" i="5"/>
  <c r="I35" i="5"/>
  <c r="P57" i="5"/>
  <c r="M63" i="5" s="1"/>
  <c r="K33" i="5" l="1"/>
  <c r="Q57" i="5"/>
  <c r="N63" i="5" s="1"/>
  <c r="J35" i="5"/>
  <c r="L20" i="5"/>
  <c r="R56" i="5"/>
  <c r="O62" i="5" s="1"/>
  <c r="K22" i="5"/>
  <c r="S58" i="5"/>
  <c r="P64" i="5" s="1"/>
  <c r="L48" i="5"/>
  <c r="B49" i="5" s="1"/>
  <c r="B51" i="5" s="1"/>
  <c r="L47" i="5"/>
  <c r="S56" i="5" l="1"/>
  <c r="P62" i="5" s="1"/>
  <c r="L22" i="5"/>
  <c r="B23" i="5" s="1"/>
  <c r="B25" i="5" s="1"/>
  <c r="R57" i="5"/>
  <c r="O63" i="5" s="1"/>
  <c r="K35" i="5"/>
  <c r="K34" i="5"/>
  <c r="L21" i="5"/>
  <c r="B52" i="5"/>
  <c r="C52" i="5" s="1"/>
  <c r="C13" i="5" s="1"/>
  <c r="F30" i="3" s="1"/>
  <c r="C51" i="5"/>
  <c r="B13" i="5" s="1"/>
  <c r="E13" i="5" s="1"/>
  <c r="G30" i="3" s="1"/>
  <c r="L33" i="5" l="1"/>
  <c r="B26" i="5"/>
  <c r="C26" i="5" s="1"/>
  <c r="C11" i="5" s="1"/>
  <c r="F28" i="3" s="1"/>
  <c r="F31" i="3" s="1"/>
  <c r="C25" i="5"/>
  <c r="B11" i="5" s="1"/>
  <c r="E11" i="5" s="1"/>
  <c r="G28" i="3" s="1"/>
  <c r="C29" i="3" l="1"/>
  <c r="C28" i="3"/>
  <c r="D28" i="3" s="1"/>
  <c r="G31" i="3"/>
  <c r="C30" i="3"/>
  <c r="S57" i="5"/>
  <c r="P63" i="5" s="1"/>
  <c r="L35" i="5"/>
  <c r="B36" i="5" s="1"/>
  <c r="B38" i="5" s="1"/>
  <c r="L34" i="5"/>
  <c r="B39" i="5" l="1"/>
  <c r="C39" i="5" s="1"/>
  <c r="C12" i="5" s="1"/>
  <c r="F29" i="3" s="1"/>
  <c r="C38" i="5"/>
  <c r="B12" i="5" s="1"/>
  <c r="E12" i="5" s="1"/>
  <c r="G29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<sst xmlns="http://schemas.openxmlformats.org/spreadsheetml/2006/main" count="1061" uniqueCount="435">
  <si>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</si>
  <si>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</si>
  <si>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</si>
  <si>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</si>
  <si>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</si>
  <si>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</si>
  <si>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</si>
  <si>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</si>
  <si>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</si>
  <si>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</si>
  <si>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</si>
  <si>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</si>
  <si>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</si>
  <si>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</si>
  <si>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</si>
  <si>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</si>
  <si>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</si>
  <si>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</si>
  <si>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</si>
  <si>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</si>
  <si>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</si>
  <si>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</si>
  <si>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</si>
  <si>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</si>
  <si>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</si>
  <si>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</si>
  <si>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</si>
  <si>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</si>
  <si>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</si>
  <si>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</si>
  <si>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</si>
  <si>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</si>
  <si>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</si>
  <si>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</si>
  <si>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</si>
  <si>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</si>
  <si>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</si>
  <si>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</si>
  <si>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</si>
  <si>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</si>
  <si>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</si>
  <si>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</si>
  <si>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</si>
  <si>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</si>
  <si>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</si>
  <si>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</si>
  <si>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</si>
  <si>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</si>
  <si>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</si>
  <si>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</si>
  <si>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</si>
  <si>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</si>
  <si>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</si>
  <si>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</si>
  <si>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</si>
  <si>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</si>
  <si>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</si>
  <si>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</si>
  <si>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</si>
  <si>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</si>
  <si>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</si>
  <si>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남화토건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</si>
  <si>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</si>
  <si>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</si>
  <si>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</si>
  <si>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</si>
  <si>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</si>
  <si>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</si>
  <si>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</si>
  <si>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</si>
  <si>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</si>
  <si>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</si>
  <si>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</si>
  <si>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</si>
  <si>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</si>
  <si>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</si>
  <si>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</si>
  <si>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</si>
  <si>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</si>
  <si>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</si>
  <si>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</si>
  <si>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</si>
  <si>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</si>
  <si>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</si>
  <si>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</si>
  <si>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</si>
  <si>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</si>
  <si>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</si>
  <si>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</si>
  <si>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</si>
  <si>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</si>
  <si>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</si>
  <si>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</si>
  <si>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</si>
  <si>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</si>
  <si>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</si>
  <si>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</si>
  <si>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</si>
  <si>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</si>
  <si>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</si>
  <si>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</si>
  <si>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</si>
  <si>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</si>
  <si>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</si>
  <si>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</si>
  <si>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</si>
  <si>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3,925/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</si>
  <si>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</si>
  <si>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</si>
  <si>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</si>
  <si>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</si>
  <si>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</si>
  <si>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</si>
  <si>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</si>
  <si>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</si>
  <si>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</si>
  <si>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</si>
  <si>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</si>
  <si>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</si>
  <si>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</si>
  <si>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</si>
  <si>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</si>
  <si>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</si>
  <si>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</si>
  <si>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11,740,000/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</si>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</sst>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0C-4C68-9623-BC325DFE5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0C-4C68-9623-BC325DFE5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0C-4C68-9623-BC325DFE5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10C-4C68-9623-BC325DFE5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10C-4C68-9623-BC325DFE5D8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127</c:v>
                </c:pt>
                <c:pt idx="1">
                  <c:v>202</c:v>
                </c:pt>
                <c:pt idx="2">
                  <c:v>-110</c:v>
                </c:pt>
                <c:pt idx="3">
                  <c:v>74</c:v>
                </c:pt>
                <c:pt idx="4">
                  <c:v>0</c:v>
                </c:pt>
                <c:pt idx="5">
                  <c:v>45.229900000000008</c:v>
                </c:pt>
                <c:pt idx="6">
                  <c:v>46.488045051666674</c:v>
                </c:pt>
                <c:pt idx="7">
                  <c:v>47.781187504853868</c:v>
                </c:pt>
                <c:pt idx="8">
                  <c:v>49.110300870613891</c:v>
                </c:pt>
                <c:pt idx="9">
                  <c:v>50.476385739831464</c:v>
                </c:pt>
                <c:pt idx="10">
                  <c:v>51.880470536494443</c:v>
                </c:pt>
                <c:pt idx="11">
                  <c:v>53.323612291917925</c:v>
                </c:pt>
                <c:pt idx="12">
                  <c:v>54.806897440504777</c:v>
                </c:pt>
                <c:pt idx="13">
                  <c:v>56.331442637641487</c:v>
                </c:pt>
                <c:pt idx="14">
                  <c:v>57.898395600345211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0C-4C68-9623-BC325DFE5D8F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10C-4C68-9623-BC325DFE5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E10C-4C68-9623-BC325DFE5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10C-4C68-9623-BC325DFE5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10C-4C68-9623-BC325DFE5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E10C-4C68-9623-BC325DFE5D8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10C-4C68-9623-BC325DFE5D8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127</c:v>
                </c:pt>
                <c:pt idx="1">
                  <c:v>202</c:v>
                </c:pt>
                <c:pt idx="2">
                  <c:v>-110</c:v>
                </c:pt>
                <c:pt idx="3">
                  <c:v>74</c:v>
                </c:pt>
                <c:pt idx="4">
                  <c:v>0</c:v>
                </c:pt>
                <c:pt idx="5">
                  <c:v>57.38967000000001</c:v>
                </c:pt>
                <c:pt idx="6">
                  <c:v>70.745292576585015</c:v>
                </c:pt>
                <c:pt idx="7">
                  <c:v>84.343983698821816</c:v>
                </c:pt>
                <c:pt idx="8">
                  <c:v>98.422336113617447</c:v>
                </c:pt>
                <c:pt idx="9">
                  <c:v>113.19481488688999</c:v>
                </c:pt>
                <c:pt idx="10">
                  <c:v>128.86303502075179</c:v>
                </c:pt>
                <c:pt idx="11">
                  <c:v>145.62280981126827</c:v>
                </c:pt>
                <c:pt idx="12">
                  <c:v>163.66969339826298</c:v>
                </c:pt>
                <c:pt idx="13">
                  <c:v>183.20350949338757</c:v>
                </c:pt>
                <c:pt idx="14">
                  <c:v>204.43220732971969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10C-4C68-9623-BC325DFE5D8F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E10C-4C68-9623-BC325DFE5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E10C-4C68-9623-BC325DFE5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E10C-4C68-9623-BC325DFE5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E10C-4C68-9623-BC325DFE5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E10C-4C68-9623-BC325DFE5D8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10C-4C68-9623-BC325DFE5D8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127</c:v>
                </c:pt>
                <c:pt idx="1">
                  <c:v>202</c:v>
                </c:pt>
                <c:pt idx="2">
                  <c:v>-110</c:v>
                </c:pt>
                <c:pt idx="3">
                  <c:v>74</c:v>
                </c:pt>
                <c:pt idx="4">
                  <c:v>0</c:v>
                </c:pt>
                <c:pt idx="5">
                  <c:v>69.54943999999999</c:v>
                </c:pt>
                <c:pt idx="6">
                  <c:v>92.812115613013319</c:v>
                </c:pt>
                <c:pt idx="7">
                  <c:v>115.01120077892476</c:v>
                </c:pt>
                <c:pt idx="8">
                  <c:v>136.9833517170064</c:v>
                </c:pt>
                <c:pt idx="9">
                  <c:v>159.34160482181838</c:v>
                </c:pt>
                <c:pt idx="10">
                  <c:v>182.56610668971314</c:v>
                </c:pt>
                <c:pt idx="11">
                  <c:v>207.0587438914587</c:v>
                </c:pt>
                <c:pt idx="12">
                  <c:v>233.17740057857975</c:v>
                </c:pt>
                <c:pt idx="13">
                  <c:v>261.25836111319654</c:v>
                </c:pt>
                <c:pt idx="14">
                  <c:v>291.63164380556418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10C-4C68-9623-BC325DFE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6.19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12.76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2.5499999999999998E-2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0.21817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6.19</v>
      </c>
      <c r="C282">
        <v>12.76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6.23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4.7</v>
      </c>
      <c r="C290">
        <v>4.24</v>
      </c>
      <c r="D290">
        <v>0.77</v>
      </c>
    </row>
    <row r="291" spans="1:4" x14ac:dyDescent="0.4">
      <c r="A291" t="s">
        <v>85</v>
      </c>
      <c r="B291">
        <v>2.5499999999999998</v>
      </c>
      <c r="C291">
        <v>1.75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7.38</v>
      </c>
      <c r="C443">
        <v>10.66</v>
      </c>
      <c r="D443">
        <v>-5.28</v>
      </c>
      <c r="E443">
        <v>3.97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138</v>
      </c>
      <c r="C482" s="194">
        <v>154</v>
      </c>
      <c r="D482" s="194">
        <v>203</v>
      </c>
      <c r="E482" s="194">
        <v>233</v>
      </c>
      <c r="F482" s="194">
        <v>233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-1</v>
      </c>
      <c r="C483" s="194">
        <v>3</v>
      </c>
      <c r="D483" s="194">
        <v>8</v>
      </c>
      <c r="E483" s="194">
        <v>15</v>
      </c>
      <c r="F483" s="194">
        <v>15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-1</v>
      </c>
      <c r="C484" s="194">
        <v>3</v>
      </c>
      <c r="D484" s="194">
        <v>8</v>
      </c>
      <c r="E484" s="194">
        <v>15</v>
      </c>
      <c r="F484" s="194">
        <v>15</v>
      </c>
      <c r="G484" s="194"/>
      <c r="H484" s="194"/>
      <c r="I484" s="194"/>
    </row>
    <row r="485" spans="1:9" x14ac:dyDescent="0.4">
      <c r="A485" t="s">
        <v>277</v>
      </c>
      <c r="B485" s="194">
        <v>0</v>
      </c>
      <c r="C485" s="194">
        <v>14</v>
      </c>
      <c r="D485" s="194">
        <v>9</v>
      </c>
      <c r="E485" s="194">
        <v>32</v>
      </c>
      <c r="F485" s="194">
        <v>32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</v>
      </c>
      <c r="C486" s="194">
        <v>13</v>
      </c>
      <c r="D486" s="194">
        <v>10</v>
      </c>
      <c r="E486" s="194">
        <v>10</v>
      </c>
      <c r="F486" s="194">
        <v>10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1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1902</v>
      </c>
      <c r="C488" s="194">
        <v>1888</v>
      </c>
      <c r="D488" s="194">
        <v>1885</v>
      </c>
      <c r="E488" s="194">
        <v>1885</v>
      </c>
      <c r="F488" s="194">
        <v>1885</v>
      </c>
    </row>
    <row r="489" spans="1:9" x14ac:dyDescent="0.4">
      <c r="A489" t="s">
        <v>281</v>
      </c>
      <c r="B489" s="194">
        <v>235</v>
      </c>
      <c r="C489" s="194">
        <v>210</v>
      </c>
      <c r="D489" s="194">
        <v>199</v>
      </c>
      <c r="E489" s="194">
        <v>199</v>
      </c>
      <c r="F489" s="194">
        <v>199</v>
      </c>
    </row>
    <row r="490" spans="1:9" x14ac:dyDescent="0.4">
      <c r="A490" t="s">
        <v>282</v>
      </c>
      <c r="B490" s="194">
        <v>1667</v>
      </c>
      <c r="C490" s="194">
        <v>1677</v>
      </c>
      <c r="D490" s="194">
        <v>1687</v>
      </c>
      <c r="E490" s="194">
        <v>1687</v>
      </c>
      <c r="F490" s="194">
        <v>1687</v>
      </c>
    </row>
    <row r="491" spans="1:9" x14ac:dyDescent="0.4">
      <c r="A491" t="s">
        <v>283</v>
      </c>
      <c r="B491" s="194">
        <v>1603</v>
      </c>
      <c r="C491" s="194">
        <v>1616</v>
      </c>
      <c r="D491" s="194">
        <v>1626</v>
      </c>
      <c r="E491" s="194">
        <v>1626</v>
      </c>
      <c r="F491" s="194">
        <v>1626</v>
      </c>
    </row>
    <row r="492" spans="1:9" x14ac:dyDescent="0.4">
      <c r="A492" t="s">
        <v>284</v>
      </c>
      <c r="B492" s="194">
        <v>64</v>
      </c>
      <c r="C492" s="194">
        <v>61</v>
      </c>
      <c r="D492" s="194">
        <v>61</v>
      </c>
      <c r="E492" s="194">
        <v>61</v>
      </c>
      <c r="F492" s="194">
        <v>61</v>
      </c>
    </row>
    <row r="493" spans="1:9" x14ac:dyDescent="0.4">
      <c r="A493" t="s">
        <v>285</v>
      </c>
      <c r="B493" s="194">
        <v>59</v>
      </c>
      <c r="C493" s="194">
        <v>59</v>
      </c>
      <c r="D493" s="196">
        <v>59</v>
      </c>
      <c r="E493" s="196">
        <v>59</v>
      </c>
      <c r="F493" s="196">
        <v>59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0.1</v>
      </c>
      <c r="C510">
        <v>2.91</v>
      </c>
      <c r="D510">
        <v>1.99</v>
      </c>
      <c r="E510">
        <v>1.99</v>
      </c>
      <c r="F510">
        <v>1.99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남화토건</v>
      </c>
      <c r="D4" s="82" t="s">
        <v>340</v>
      </c>
      <c r="E4" s="83">
        <f ca="1">Data!B7</f>
        <v>11740000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3925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0.21817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2.781666666666667E-2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2.781666666666667E-2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2.6633632703623414E-2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2.781666666666667E-2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8.8300000000000003E-2</v>
      </c>
      <c r="D22" s="120">
        <f>Data!C40</f>
        <v>0.12720000000000001</v>
      </c>
      <c r="E22" s="121">
        <f>Data!D40</f>
        <v>-6.8099999999999994E-2</v>
      </c>
      <c r="F22" s="122">
        <f>Data!E40</f>
        <v>4.7E-2</v>
      </c>
      <c r="G22" s="122">
        <f>Data!F40</f>
        <v>4.7E-2</v>
      </c>
      <c r="H22" s="123">
        <f ca="1">Data!K78</f>
        <v>2.6633632703623414E-2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2.781666666666667E-2</v>
      </c>
      <c r="G24" s="122">
        <f ca="1">IF(E24="컨센 없음",IF(D24="컨센 없음",IF(C24="컨센 없음",IF(H22="분기자료부족",J22,IF(I21="상승추세",H22,IF(I22="하락추세",H22,F24))),C24),D24),E24)</f>
        <v>2.781666666666667E-2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3925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7008.2566868058711</v>
      </c>
      <c r="D28" s="143">
        <f ca="1">C27/C28-1</f>
        <v>-0.43994631255595695</v>
      </c>
      <c r="E28" s="144" t="s">
        <v>368</v>
      </c>
      <c r="F28" s="145">
        <f ca="1">RIM계산!C11</f>
        <v>7008.2566868058711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11057.49767441212</v>
      </c>
      <c r="E29" s="149" t="s">
        <v>370</v>
      </c>
      <c r="F29" s="150">
        <f ca="1">RIM계산!C12</f>
        <v>9421.1685174813483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7008.2566868058711</v>
      </c>
      <c r="E30" s="149" t="s">
        <v>372</v>
      </c>
      <c r="F30" s="154">
        <f ca="1">RIM계산!C13</f>
        <v>11057.49767441212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150</v>
      </c>
      <c r="D34" s="162">
        <f>Data!C43</f>
        <v>200</v>
      </c>
      <c r="E34" s="162">
        <f>Data!D43</f>
        <v>50</v>
      </c>
      <c r="F34" s="162">
        <f>Data!E43</f>
        <v>100</v>
      </c>
      <c r="G34" s="162">
        <f>Data!F43</f>
        <v>100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1.72E-2</v>
      </c>
      <c r="D35" s="165">
        <f>Data!C44</f>
        <v>1.9E-2</v>
      </c>
      <c r="E35" s="165">
        <f>Data!D44</f>
        <v>7.4000000000000003E-3</v>
      </c>
      <c r="F35" s="165">
        <f>Data!E44</f>
        <v>2.5499999999999998E-2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7.3800000000000004E-2</v>
      </c>
      <c r="D36" s="6">
        <f ca="1">Data!C39</f>
        <v>0.1066</v>
      </c>
      <c r="E36" s="6">
        <f ca="1">Data!D39</f>
        <v>-5.28E-2</v>
      </c>
      <c r="F36" s="6">
        <f ca="1">Data!E39</f>
        <v>3.9699999999999999E-2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1080</v>
      </c>
      <c r="D37" s="71">
        <f>Data!C41</f>
        <v>1719</v>
      </c>
      <c r="E37" s="71">
        <f>Data!D41</f>
        <v>-935</v>
      </c>
      <c r="F37" s="71">
        <f>Data!E41</f>
        <v>632</v>
      </c>
      <c r="G37" s="71">
        <f>Data!F41</f>
        <v>477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12722</v>
      </c>
      <c r="D38" s="71">
        <f>Data!C42</f>
        <v>14298</v>
      </c>
      <c r="E38" s="71">
        <f>Data!D42</f>
        <v>13169</v>
      </c>
      <c r="F38" s="71">
        <f>Data!E42</f>
        <v>13747</v>
      </c>
      <c r="G38" s="71">
        <f>Data!F42</f>
        <v>13747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1.1790598962427292E-2</v>
      </c>
      <c r="D39" s="169">
        <f t="shared" si="0"/>
        <v>1.3987970345502868E-2</v>
      </c>
      <c r="E39" s="169">
        <f t="shared" si="0"/>
        <v>3.7967955045941225E-3</v>
      </c>
      <c r="F39" s="169">
        <f t="shared" si="0"/>
        <v>7.2743143958681894E-3</v>
      </c>
      <c r="G39" s="169">
        <f t="shared" si="0"/>
        <v>7.2743143958681894E-3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남화토건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4.7E-2</v>
      </c>
      <c r="D42" s="6">
        <f>Data!C85</f>
        <v>4.24E-2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6.19</v>
      </c>
      <c r="D43" s="183">
        <f>Data!C86</f>
        <v>12.76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2.5499999999999998E-2</v>
      </c>
      <c r="D44" s="188">
        <f>Data!C87</f>
        <v>1.7500000000000002E-2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남화토건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3925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3,925/ </v>
      </c>
    </row>
    <row r="6" spans="1:9" x14ac:dyDescent="0.4">
      <c r="A6" s="15" t="s">
        <v>114</v>
      </c>
      <c r="B6" s="15">
        <f ca="1">I6</f>
        <v>0.21817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0.21817</v>
      </c>
    </row>
    <row r="7" spans="1:9" x14ac:dyDescent="0.4">
      <c r="A7" s="15" t="s">
        <v>123</v>
      </c>
      <c r="B7" s="66">
        <f ca="1">LEFT(I7,SEARCHB("/",I7)-1)*1</f>
        <v>11740000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11,740,000/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6.19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6.19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12.76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12.76</v>
      </c>
    </row>
    <row r="19" spans="1:9" x14ac:dyDescent="0.4">
      <c r="A19" s="9" t="s">
        <v>247</v>
      </c>
      <c r="B19" s="9">
        <f t="shared" ca="1" si="0"/>
        <v>6.23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6.23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2.5499999999999998E-2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2.5499999999999998E-2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1091</v>
      </c>
      <c r="C27" s="71">
        <v>908</v>
      </c>
      <c r="D27" s="71">
        <v>718</v>
      </c>
      <c r="E27" s="71">
        <v>567</v>
      </c>
      <c r="F27" s="71">
        <v>727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88</v>
      </c>
      <c r="C28" s="71">
        <v>45</v>
      </c>
      <c r="D28" s="71">
        <v>-44</v>
      </c>
      <c r="E28" s="71">
        <v>-20</v>
      </c>
      <c r="F28" s="71">
        <v>25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88</v>
      </c>
      <c r="C29" s="71">
        <v>45</v>
      </c>
      <c r="D29" s="71">
        <v>-44</v>
      </c>
      <c r="E29" s="71">
        <v>-20</v>
      </c>
      <c r="F29" s="71">
        <v>25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131</v>
      </c>
      <c r="C30" s="71">
        <v>208</v>
      </c>
      <c r="D30" s="71">
        <v>-104</v>
      </c>
      <c r="E30" s="71">
        <v>76</v>
      </c>
      <c r="F30" s="71">
        <v>56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127</v>
      </c>
      <c r="C31" s="74">
        <v>202</v>
      </c>
      <c r="D31" s="74">
        <v>-110</v>
      </c>
      <c r="E31" s="74">
        <v>74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4</v>
      </c>
      <c r="C32" s="71">
        <v>6</v>
      </c>
      <c r="D32" s="71">
        <v>6</v>
      </c>
      <c r="E32" s="71">
        <v>2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1839</v>
      </c>
      <c r="C33" s="71">
        <v>2053</v>
      </c>
      <c r="D33" s="71">
        <v>1892</v>
      </c>
      <c r="E33" s="71">
        <v>1927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290</v>
      </c>
      <c r="C34" s="71">
        <v>313</v>
      </c>
      <c r="D34" s="71">
        <v>283</v>
      </c>
      <c r="E34" s="71">
        <v>249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1549</v>
      </c>
      <c r="C35" s="71">
        <v>1739</v>
      </c>
      <c r="D35" s="71">
        <v>1609</v>
      </c>
      <c r="E35" s="71">
        <v>1678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1494</v>
      </c>
      <c r="C36" s="74">
        <v>1679</v>
      </c>
      <c r="D36" s="74">
        <v>1546</v>
      </c>
      <c r="E36" s="74">
        <v>1614</v>
      </c>
      <c r="F36" s="74">
        <v>1614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55</v>
      </c>
      <c r="C37" s="71">
        <v>61</v>
      </c>
      <c r="D37" s="71">
        <v>63</v>
      </c>
      <c r="E37" s="71">
        <v>64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59</v>
      </c>
      <c r="C38" s="71">
        <v>59</v>
      </c>
      <c r="D38" s="71">
        <v>59</v>
      </c>
      <c r="E38" s="71">
        <v>59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7.3800000000000004E-2</v>
      </c>
      <c r="C39" s="75">
        <f ca="1">OFFSET(INDIRECT($H$24),ROW()-2,COLUMN()-1,1,1)/100</f>
        <v>0.1066</v>
      </c>
      <c r="D39" s="75">
        <f ca="1">OFFSET(INDIRECT($H$24),ROW()-2,COLUMN()-1,1,1)/100</f>
        <v>-5.28E-2</v>
      </c>
      <c r="E39" s="75">
        <f ca="1">OFFSET(INDIRECT($H$24),ROW()-2,COLUMN()-1,1,1)/100</f>
        <v>3.9699999999999999E-2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8.8300000000000003E-2</v>
      </c>
      <c r="C40" s="75">
        <v>0.12720000000000001</v>
      </c>
      <c r="D40" s="75">
        <v>-6.8099999999999994E-2</v>
      </c>
      <c r="E40" s="75">
        <v>4.7E-2</v>
      </c>
      <c r="F40" s="75">
        <v>4.7E-2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1080</v>
      </c>
      <c r="C41" s="71">
        <v>1719</v>
      </c>
      <c r="D41" s="71">
        <v>-935</v>
      </c>
      <c r="E41" s="71">
        <v>632</v>
      </c>
      <c r="F41" s="71">
        <v>477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12722</v>
      </c>
      <c r="C42" s="71">
        <v>14298</v>
      </c>
      <c r="D42" s="71">
        <v>13169</v>
      </c>
      <c r="E42" s="71">
        <v>13747</v>
      </c>
      <c r="F42" s="71">
        <v>13747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150</v>
      </c>
      <c r="C43" s="71">
        <v>200</v>
      </c>
      <c r="D43" s="71">
        <v>50</v>
      </c>
      <c r="E43" s="71">
        <v>100</v>
      </c>
      <c r="F43" s="71">
        <v>100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1.72E-2</v>
      </c>
      <c r="C44" s="75">
        <v>1.9E-2</v>
      </c>
      <c r="D44" s="75">
        <v>7.4000000000000003E-3</v>
      </c>
      <c r="E44" s="75">
        <v>2.5499999999999998E-2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138</v>
      </c>
      <c r="C51" s="71">
        <f t="shared" ca="1" si="5"/>
        <v>154</v>
      </c>
      <c r="D51" s="71">
        <f t="shared" ca="1" si="5"/>
        <v>203</v>
      </c>
      <c r="E51" s="71">
        <f t="shared" ca="1" si="5"/>
        <v>233</v>
      </c>
      <c r="F51" s="71">
        <f t="shared" ca="1" si="5"/>
        <v>233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138</v>
      </c>
    </row>
    <row r="52" spans="1:11" x14ac:dyDescent="0.4">
      <c r="A52" s="72" t="str">
        <f t="shared" ca="1" si="5"/>
        <v>영업이익</v>
      </c>
      <c r="B52" s="71">
        <f t="shared" ca="1" si="5"/>
        <v>-1</v>
      </c>
      <c r="C52" s="71">
        <f t="shared" ca="1" si="5"/>
        <v>3</v>
      </c>
      <c r="D52" s="71">
        <f t="shared" ca="1" si="5"/>
        <v>8</v>
      </c>
      <c r="E52" s="71">
        <f t="shared" ca="1" si="5"/>
        <v>15</v>
      </c>
      <c r="F52" s="71">
        <f t="shared" ca="1" si="5"/>
        <v>15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-1</v>
      </c>
      <c r="C53" s="71">
        <f t="shared" ca="1" si="5"/>
        <v>3</v>
      </c>
      <c r="D53" s="71">
        <f t="shared" ca="1" si="5"/>
        <v>8</v>
      </c>
      <c r="E53" s="71">
        <f t="shared" ca="1" si="5"/>
        <v>15</v>
      </c>
      <c r="F53" s="71">
        <f t="shared" ca="1" si="5"/>
        <v>15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14</v>
      </c>
      <c r="D54" s="71">
        <f t="shared" ca="1" si="5"/>
        <v>9</v>
      </c>
      <c r="E54" s="71">
        <f t="shared" ca="1" si="5"/>
        <v>32</v>
      </c>
      <c r="F54" s="71">
        <f t="shared" ca="1" si="5"/>
        <v>32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</v>
      </c>
      <c r="C55" s="71">
        <f t="shared" ca="1" si="5"/>
        <v>13</v>
      </c>
      <c r="D55" s="71">
        <f t="shared" ca="1" si="5"/>
        <v>10</v>
      </c>
      <c r="E55" s="71">
        <f t="shared" ca="1" si="5"/>
        <v>10</v>
      </c>
      <c r="F55" s="71">
        <f t="shared" ca="1" si="5"/>
        <v>10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43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1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1902</v>
      </c>
      <c r="C57" s="71">
        <f t="shared" ca="1" si="5"/>
        <v>1888</v>
      </c>
      <c r="D57" s="71">
        <f t="shared" ca="1" si="5"/>
        <v>1885</v>
      </c>
      <c r="E57" s="71">
        <f t="shared" ca="1" si="5"/>
        <v>1885</v>
      </c>
      <c r="F57" s="71">
        <f t="shared" ca="1" si="5"/>
        <v>1885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235</v>
      </c>
      <c r="C58" s="71">
        <f t="shared" ca="1" si="5"/>
        <v>210</v>
      </c>
      <c r="D58" s="71">
        <f t="shared" ca="1" si="5"/>
        <v>199</v>
      </c>
      <c r="E58" s="71">
        <f t="shared" ca="1" si="5"/>
        <v>199</v>
      </c>
      <c r="F58" s="71">
        <f t="shared" ca="1" si="5"/>
        <v>199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1667</v>
      </c>
      <c r="C59" s="71">
        <f t="shared" ca="1" si="5"/>
        <v>1677</v>
      </c>
      <c r="D59" s="71">
        <f t="shared" ca="1" si="5"/>
        <v>1687</v>
      </c>
      <c r="E59" s="71">
        <f t="shared" ca="1" si="5"/>
        <v>1687</v>
      </c>
      <c r="F59" s="71">
        <f t="shared" ca="1" si="5"/>
        <v>1687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1603</v>
      </c>
      <c r="C60" s="71">
        <f t="shared" ca="1" si="5"/>
        <v>1616</v>
      </c>
      <c r="D60" s="71">
        <f t="shared" ca="1" si="5"/>
        <v>1626</v>
      </c>
      <c r="E60" s="71">
        <f t="shared" ca="1" si="5"/>
        <v>1626</v>
      </c>
      <c r="F60" s="71">
        <f t="shared" ca="1" si="5"/>
        <v>1626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1614.5</v>
      </c>
    </row>
    <row r="61" spans="1:11" x14ac:dyDescent="0.4">
      <c r="A61" s="72" t="str">
        <f t="shared" ca="1" si="5"/>
        <v>  비지배주주지분</v>
      </c>
      <c r="B61" s="71">
        <f t="shared" ca="1" si="5"/>
        <v>64</v>
      </c>
      <c r="C61" s="71">
        <f t="shared" ca="1" si="5"/>
        <v>61</v>
      </c>
      <c r="D61" s="71">
        <f t="shared" ca="1" si="5"/>
        <v>61</v>
      </c>
      <c r="E61" s="71">
        <f t="shared" ca="1" si="5"/>
        <v>61</v>
      </c>
      <c r="F61" s="71">
        <f t="shared" ca="1" si="5"/>
        <v>61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2.6633632703623414E-2</v>
      </c>
    </row>
    <row r="62" spans="1:11" x14ac:dyDescent="0.4">
      <c r="A62" s="72" t="str">
        <f t="shared" ca="1" si="5"/>
        <v>자본금</v>
      </c>
      <c r="B62" s="71">
        <f t="shared" ca="1" si="5"/>
        <v>59</v>
      </c>
      <c r="C62" s="71">
        <f t="shared" ca="1" si="5"/>
        <v>59</v>
      </c>
      <c r="D62" s="71">
        <f t="shared" ca="1" si="5"/>
        <v>59</v>
      </c>
      <c r="E62" s="71">
        <f t="shared" ca="1" si="5"/>
        <v>59</v>
      </c>
      <c r="F62" s="71">
        <f t="shared" ca="1" si="5"/>
        <v>59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2.6633632703623414E-2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4.7E-2</v>
      </c>
      <c r="C85" s="75">
        <v>4.24E-2</v>
      </c>
      <c r="D85" s="75">
        <v>7.7000000000000002E-3</v>
      </c>
    </row>
    <row r="86" spans="1:9" x14ac:dyDescent="0.4">
      <c r="A86" s="9" t="s">
        <v>74</v>
      </c>
      <c r="B86" s="183">
        <v>6.19</v>
      </c>
      <c r="C86" s="183">
        <v>12.76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2.5499999999999998E-2</v>
      </c>
      <c r="C87" s="75">
        <v>1.7500000000000002E-2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8.8300000000000003E-2</v>
      </c>
      <c r="F2" s="174">
        <f>Data!C40</f>
        <v>0.12720000000000001</v>
      </c>
      <c r="G2" s="174">
        <f>Data!D40</f>
        <v>-6.8099999999999994E-2</v>
      </c>
      <c r="H2" s="174">
        <f>Data!E40</f>
        <v>4.7E-2</v>
      </c>
      <c r="I2" s="174">
        <f>Data!F40</f>
        <v>4.7E-2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2.6633632703623414E-2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1494</v>
      </c>
      <c r="F3" s="76">
        <f>Data!C36</f>
        <v>1679</v>
      </c>
      <c r="G3" s="76">
        <f>Data!D36</f>
        <v>1546</v>
      </c>
      <c r="H3" s="76">
        <f>Data!E36</f>
        <v>1614</v>
      </c>
      <c r="I3" s="76">
        <f>Data!F36</f>
        <v>1614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1626</v>
      </c>
    </row>
    <row r="4" spans="1:13" x14ac:dyDescent="0.4">
      <c r="A4" s="15" t="s">
        <v>384</v>
      </c>
      <c r="B4" s="13">
        <f ca="1">Data!B7+Data!C7</f>
        <v>11740000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127</v>
      </c>
      <c r="F5" s="76">
        <f>Data!C31</f>
        <v>202</v>
      </c>
      <c r="G5" s="76">
        <f>Data!D31</f>
        <v>-110</v>
      </c>
      <c r="H5" s="76">
        <f>Data!E31</f>
        <v>74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43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2.781666666666667E-2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1626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822.76933503100929</v>
      </c>
      <c r="C11" s="41">
        <f ca="1">C26</f>
        <v>7008.2566868058711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1106.0451839523103</v>
      </c>
      <c r="C12" s="37">
        <f ca="1">C39</f>
        <v>9421.1685174813483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1298.1502269759828</v>
      </c>
      <c r="C13" s="45">
        <f ca="1">C52</f>
        <v>11057.49767441212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-7.4783333333333327E-2</v>
      </c>
      <c r="C18" s="19">
        <f t="shared" ref="C18:L18" ca="1" si="2">IF(YEAR(C16)&gt;$J$7,0,B18*$B$15)</f>
        <v>-7.4783333333333327E-2</v>
      </c>
      <c r="D18" s="19">
        <f t="shared" ca="1" si="2"/>
        <v>-7.4783333333333327E-2</v>
      </c>
      <c r="E18" s="19">
        <f t="shared" ca="1" si="2"/>
        <v>-7.4783333333333327E-2</v>
      </c>
      <c r="F18" s="19">
        <f t="shared" ca="1" si="2"/>
        <v>-7.4783333333333327E-2</v>
      </c>
      <c r="G18" s="19">
        <f t="shared" ca="1" si="2"/>
        <v>-7.4783333333333327E-2</v>
      </c>
      <c r="H18" s="19">
        <f t="shared" ca="1" si="2"/>
        <v>-7.4783333333333327E-2</v>
      </c>
      <c r="I18" s="19">
        <f t="shared" ca="1" si="2"/>
        <v>-7.4783333333333327E-2</v>
      </c>
      <c r="J18" s="19">
        <f t="shared" ca="1" si="2"/>
        <v>-7.4783333333333327E-2</v>
      </c>
      <c r="K18" s="19">
        <f t="shared" ca="1" si="2"/>
        <v>-7.4783333333333327E-2</v>
      </c>
      <c r="L18" s="19">
        <f t="shared" ca="1" si="2"/>
        <v>-7.4783333333333327E-2</v>
      </c>
    </row>
    <row r="19" spans="1:12" x14ac:dyDescent="0.4">
      <c r="A19" s="15" t="s">
        <v>249</v>
      </c>
      <c r="B19" s="19">
        <f t="shared" ref="B19:L19" ca="1" si="3">B17+B18</f>
        <v>2.781666666666667E-2</v>
      </c>
      <c r="C19" s="19">
        <f t="shared" ca="1" si="3"/>
        <v>2.781666666666667E-2</v>
      </c>
      <c r="D19" s="19">
        <f t="shared" ca="1" si="3"/>
        <v>2.781666666666667E-2</v>
      </c>
      <c r="E19" s="19">
        <f t="shared" ca="1" si="3"/>
        <v>2.781666666666667E-2</v>
      </c>
      <c r="F19" s="19">
        <f t="shared" ca="1" si="3"/>
        <v>2.781666666666667E-2</v>
      </c>
      <c r="G19" s="19">
        <f t="shared" ca="1" si="3"/>
        <v>2.781666666666667E-2</v>
      </c>
      <c r="H19" s="19">
        <f t="shared" ca="1" si="3"/>
        <v>2.781666666666667E-2</v>
      </c>
      <c r="I19" s="19">
        <f t="shared" ca="1" si="3"/>
        <v>2.781666666666667E-2</v>
      </c>
      <c r="J19" s="19">
        <f t="shared" ca="1" si="3"/>
        <v>2.781666666666667E-2</v>
      </c>
      <c r="K19" s="19">
        <f t="shared" ca="1" si="3"/>
        <v>2.781666666666667E-2</v>
      </c>
      <c r="L19" s="19">
        <f t="shared" ca="1" si="3"/>
        <v>2.781666666666667E-2</v>
      </c>
    </row>
    <row r="20" spans="1:12" x14ac:dyDescent="0.4">
      <c r="A20" s="15" t="s">
        <v>385</v>
      </c>
      <c r="B20" s="20"/>
      <c r="C20" s="20">
        <f t="shared" ref="C20:L20" ca="1" si="4">B21*C19</f>
        <v>45.229900000000008</v>
      </c>
      <c r="D20" s="20">
        <f t="shared" ca="1" si="4"/>
        <v>46.488045051666674</v>
      </c>
      <c r="E20" s="20">
        <f t="shared" ca="1" si="4"/>
        <v>47.781187504853868</v>
      </c>
      <c r="F20" s="20">
        <f t="shared" ca="1" si="4"/>
        <v>49.110300870613891</v>
      </c>
      <c r="G20" s="20">
        <f t="shared" ca="1" si="4"/>
        <v>50.476385739831464</v>
      </c>
      <c r="H20" s="20">
        <f t="shared" ca="1" si="4"/>
        <v>51.880470536494443</v>
      </c>
      <c r="I20" s="20">
        <f t="shared" ca="1" si="4"/>
        <v>53.323612291917925</v>
      </c>
      <c r="J20" s="20">
        <f t="shared" ca="1" si="4"/>
        <v>54.806897440504777</v>
      </c>
      <c r="K20" s="20">
        <f t="shared" ca="1" si="4"/>
        <v>56.331442637641487</v>
      </c>
      <c r="L20" s="20">
        <f t="shared" ca="1" si="4"/>
        <v>57.898395600345211</v>
      </c>
    </row>
    <row r="21" spans="1:12" x14ac:dyDescent="0.4">
      <c r="A21" s="15" t="s">
        <v>383</v>
      </c>
      <c r="B21" s="20">
        <f ca="1">$F$8</f>
        <v>1626</v>
      </c>
      <c r="C21" s="20">
        <f t="shared" ref="C21:L21" ca="1" si="5">B21+C20</f>
        <v>1671.2299</v>
      </c>
      <c r="D21" s="20">
        <f t="shared" ca="1" si="5"/>
        <v>1717.7179450516667</v>
      </c>
      <c r="E21" s="20">
        <f t="shared" ca="1" si="5"/>
        <v>1765.4991325565206</v>
      </c>
      <c r="F21" s="20">
        <f t="shared" ca="1" si="5"/>
        <v>1814.6094334271345</v>
      </c>
      <c r="G21" s="20">
        <f t="shared" ca="1" si="5"/>
        <v>1865.0858191669658</v>
      </c>
      <c r="H21" s="20">
        <f t="shared" ca="1" si="5"/>
        <v>1916.9662897034602</v>
      </c>
      <c r="I21" s="20">
        <f t="shared" ca="1" si="5"/>
        <v>1970.2899019953782</v>
      </c>
      <c r="J21" s="20">
        <f t="shared" ca="1" si="5"/>
        <v>2025.096799435883</v>
      </c>
      <c r="K21" s="20">
        <f t="shared" ca="1" si="5"/>
        <v>2081.4282420735244</v>
      </c>
      <c r="L21" s="20">
        <f t="shared" ca="1" si="5"/>
        <v>2139.3266376738698</v>
      </c>
    </row>
    <row r="22" spans="1:12" x14ac:dyDescent="0.4">
      <c r="A22" s="15" t="s">
        <v>398</v>
      </c>
      <c r="B22" s="20"/>
      <c r="C22" s="20">
        <f t="shared" ref="C22:L22" ca="1" si="6">C20-B21*C17</f>
        <v>-121.59769999999997</v>
      </c>
      <c r="D22" s="20">
        <f t="shared" ca="1" si="6"/>
        <v>-124.98014268833332</v>
      </c>
      <c r="E22" s="20">
        <f t="shared" ca="1" si="6"/>
        <v>-128.45667365744711</v>
      </c>
      <c r="F22" s="20">
        <f t="shared" ca="1" si="6"/>
        <v>-132.02991012968513</v>
      </c>
      <c r="G22" s="20">
        <f t="shared" ca="1" si="6"/>
        <v>-135.70254212979253</v>
      </c>
      <c r="H22" s="20">
        <f t="shared" ca="1" si="6"/>
        <v>-139.47733451003626</v>
      </c>
      <c r="I22" s="20">
        <f t="shared" ca="1" si="6"/>
        <v>-143.35712903165708</v>
      </c>
      <c r="J22" s="20">
        <f t="shared" ca="1" si="6"/>
        <v>-147.34484650422101</v>
      </c>
      <c r="K22" s="20">
        <f t="shared" ca="1" si="6"/>
        <v>-151.4434889844801</v>
      </c>
      <c r="L22" s="20">
        <f t="shared" ca="1" si="6"/>
        <v>-155.65614203639836</v>
      </c>
    </row>
    <row r="23" spans="1:12" x14ac:dyDescent="0.4">
      <c r="A23" s="15" t="s">
        <v>399</v>
      </c>
      <c r="B23" s="62">
        <f ca="1">NPV($B$3,C22:L22)</f>
        <v>-820.44125366319133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805.55874633680867</v>
      </c>
      <c r="C25" s="63">
        <f ca="1">B25/(1+$B$3)^($H$8/365)</f>
        <v>822.76933503100929</v>
      </c>
    </row>
    <row r="26" spans="1:12" x14ac:dyDescent="0.4">
      <c r="A26" s="15" t="s">
        <v>363</v>
      </c>
      <c r="B26" s="23">
        <f ca="1">B25*100000000/($B$4-$B$5)</f>
        <v>6861.6588274004143</v>
      </c>
      <c r="C26" s="23">
        <f ca="1">B26/(1+$B$3)^($H$8/365)</f>
        <v>7008.2566868058711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-7.4783333333333327E-2</v>
      </c>
      <c r="C31" s="19">
        <f t="shared" ref="C31:L31" ca="1" si="9">IF(YEAR(C16)&gt;$J$7,0,B31*$B$28)</f>
        <v>-6.730499999999999E-2</v>
      </c>
      <c r="D31" s="19">
        <f t="shared" ca="1" si="9"/>
        <v>-6.0574499999999989E-2</v>
      </c>
      <c r="E31" s="19">
        <f t="shared" ca="1" si="9"/>
        <v>-5.4517049999999991E-2</v>
      </c>
      <c r="F31" s="19">
        <f t="shared" ca="1" si="9"/>
        <v>-4.9065344999999989E-2</v>
      </c>
      <c r="G31" s="19">
        <f t="shared" ca="1" si="9"/>
        <v>-4.4158810499999993E-2</v>
      </c>
      <c r="H31" s="19">
        <f t="shared" ca="1" si="9"/>
        <v>-3.9742929449999992E-2</v>
      </c>
      <c r="I31" s="19">
        <f t="shared" ca="1" si="9"/>
        <v>-3.5768636504999993E-2</v>
      </c>
      <c r="J31" s="19">
        <f t="shared" ca="1" si="9"/>
        <v>-3.2191772854499992E-2</v>
      </c>
      <c r="K31" s="19">
        <f t="shared" ca="1" si="9"/>
        <v>-2.8972595569049995E-2</v>
      </c>
      <c r="L31" s="19">
        <f t="shared" ca="1" si="9"/>
        <v>-2.6075336012144994E-2</v>
      </c>
    </row>
    <row r="32" spans="1:12" x14ac:dyDescent="0.4">
      <c r="A32" s="15" t="s">
        <v>249</v>
      </c>
      <c r="B32" s="19">
        <f t="shared" ref="B32:L32" ca="1" si="10">B30+B31</f>
        <v>2.781666666666667E-2</v>
      </c>
      <c r="C32" s="19">
        <f t="shared" ca="1" si="10"/>
        <v>3.5295000000000007E-2</v>
      </c>
      <c r="D32" s="19">
        <f t="shared" ca="1" si="10"/>
        <v>4.2025500000000007E-2</v>
      </c>
      <c r="E32" s="19">
        <f t="shared" ca="1" si="10"/>
        <v>4.8082950000000006E-2</v>
      </c>
      <c r="F32" s="19">
        <f t="shared" ca="1" si="10"/>
        <v>5.3534655000000007E-2</v>
      </c>
      <c r="G32" s="19">
        <f t="shared" ca="1" si="10"/>
        <v>5.8441189500000004E-2</v>
      </c>
      <c r="H32" s="19">
        <f t="shared" ca="1" si="10"/>
        <v>6.2857070550000005E-2</v>
      </c>
      <c r="I32" s="19">
        <f t="shared" ca="1" si="10"/>
        <v>6.6831363495000004E-2</v>
      </c>
      <c r="J32" s="19">
        <f t="shared" ca="1" si="10"/>
        <v>7.0408227145500005E-2</v>
      </c>
      <c r="K32" s="19">
        <f t="shared" ca="1" si="10"/>
        <v>7.3627404430950005E-2</v>
      </c>
      <c r="L32" s="19">
        <f t="shared" ca="1" si="10"/>
        <v>7.6524663987854999E-2</v>
      </c>
    </row>
    <row r="33" spans="1:12" x14ac:dyDescent="0.4">
      <c r="A33" s="15" t="s">
        <v>385</v>
      </c>
      <c r="B33" s="20"/>
      <c r="C33" s="20">
        <f t="shared" ref="C33:L33" ca="1" si="11">B34*C32</f>
        <v>57.38967000000001</v>
      </c>
      <c r="D33" s="20">
        <f t="shared" ca="1" si="11"/>
        <v>70.745292576585015</v>
      </c>
      <c r="E33" s="20">
        <f t="shared" ca="1" si="11"/>
        <v>84.343983698821816</v>
      </c>
      <c r="F33" s="20">
        <f t="shared" ca="1" si="11"/>
        <v>98.422336113617447</v>
      </c>
      <c r="G33" s="20">
        <f t="shared" ca="1" si="11"/>
        <v>113.19481488688999</v>
      </c>
      <c r="H33" s="20">
        <f t="shared" ca="1" si="11"/>
        <v>128.86303502075179</v>
      </c>
      <c r="I33" s="20">
        <f t="shared" ca="1" si="11"/>
        <v>145.62280981126827</v>
      </c>
      <c r="J33" s="20">
        <f t="shared" ca="1" si="11"/>
        <v>163.66969339826298</v>
      </c>
      <c r="K33" s="20">
        <f t="shared" ca="1" si="11"/>
        <v>183.20350949338757</v>
      </c>
      <c r="L33" s="20">
        <f t="shared" ca="1" si="11"/>
        <v>204.43220732971969</v>
      </c>
    </row>
    <row r="34" spans="1:12" x14ac:dyDescent="0.4">
      <c r="A34" s="15" t="s">
        <v>383</v>
      </c>
      <c r="B34" s="20">
        <f ca="1">$F$8</f>
        <v>1626</v>
      </c>
      <c r="C34" s="20">
        <f t="shared" ref="C34:L34" ca="1" si="12">B34+C33</f>
        <v>1683.38967</v>
      </c>
      <c r="D34" s="20">
        <f t="shared" ca="1" si="12"/>
        <v>1754.1349625765849</v>
      </c>
      <c r="E34" s="20">
        <f t="shared" ca="1" si="12"/>
        <v>1838.4789462754068</v>
      </c>
      <c r="F34" s="20">
        <f t="shared" ca="1" si="12"/>
        <v>1936.9012823890241</v>
      </c>
      <c r="G34" s="20">
        <f t="shared" ca="1" si="12"/>
        <v>2050.096097275914</v>
      </c>
      <c r="H34" s="20">
        <f t="shared" ca="1" si="12"/>
        <v>2178.9591322966658</v>
      </c>
      <c r="I34" s="20">
        <f t="shared" ca="1" si="12"/>
        <v>2324.5819421079341</v>
      </c>
      <c r="J34" s="20">
        <f t="shared" ca="1" si="12"/>
        <v>2488.2516355061971</v>
      </c>
      <c r="K34" s="20">
        <f t="shared" ca="1" si="12"/>
        <v>2671.4551449995847</v>
      </c>
      <c r="L34" s="20">
        <f t="shared" ca="1" si="12"/>
        <v>2875.8873523293046</v>
      </c>
    </row>
    <row r="35" spans="1:12" x14ac:dyDescent="0.4">
      <c r="A35" s="15" t="s">
        <v>398</v>
      </c>
      <c r="B35" s="20"/>
      <c r="C35" s="20">
        <f t="shared" ref="C35:L35" ca="1" si="13">C33-B34*C30</f>
        <v>-109.43792999999998</v>
      </c>
      <c r="D35" s="20">
        <f t="shared" ca="1" si="13"/>
        <v>-101.97048756541498</v>
      </c>
      <c r="E35" s="20">
        <f t="shared" ca="1" si="13"/>
        <v>-95.63026346153579</v>
      </c>
      <c r="F35" s="20">
        <f t="shared" ca="1" si="13"/>
        <v>-90.205603774239293</v>
      </c>
      <c r="G35" s="20">
        <f t="shared" ca="1" si="13"/>
        <v>-85.531256686223884</v>
      </c>
      <c r="H35" s="20">
        <f t="shared" ca="1" si="13"/>
        <v>-81.476824559756977</v>
      </c>
      <c r="I35" s="20">
        <f t="shared" ca="1" si="13"/>
        <v>-77.938397162369625</v>
      </c>
      <c r="J35" s="20">
        <f t="shared" ca="1" si="13"/>
        <v>-74.832413862011038</v>
      </c>
      <c r="K35" s="20">
        <f t="shared" ca="1" si="13"/>
        <v>-72.091108309548247</v>
      </c>
      <c r="L35" s="20">
        <f t="shared" ca="1" si="13"/>
        <v>-69.659090547237668</v>
      </c>
    </row>
    <row r="36" spans="1:12" x14ac:dyDescent="0.4">
      <c r="A36" s="15" t="s">
        <v>399</v>
      </c>
      <c r="B36" s="62">
        <f ca="1">NPV($B$3,C35:L35)</f>
        <v>-543.09093443193581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1082.9090655680643</v>
      </c>
      <c r="C38" s="63">
        <f ca="1">B38/(1+$B$3)^($H$8/365)</f>
        <v>1106.0451839523103</v>
      </c>
    </row>
    <row r="39" spans="1:12" x14ac:dyDescent="0.4">
      <c r="A39" s="15" t="s">
        <v>363</v>
      </c>
      <c r="B39" s="23">
        <f ca="1">B38*100000000/($B$4-$B$5)</f>
        <v>9224.0976624196283</v>
      </c>
      <c r="C39" s="23">
        <f ca="1">B39/(1+$B$3)^($H$8/365)</f>
        <v>9421.1685174813483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-7.4783333333333327E-2</v>
      </c>
      <c r="C44" s="19">
        <f t="shared" ref="C44:L44" ca="1" si="16">IF(YEAR(C16)&gt;$J$7,0,B44*$B$41)</f>
        <v>-5.9826666666666667E-2</v>
      </c>
      <c r="D44" s="19">
        <f t="shared" ca="1" si="16"/>
        <v>-4.7861333333333339E-2</v>
      </c>
      <c r="E44" s="19">
        <f t="shared" ca="1" si="16"/>
        <v>-3.8289066666666677E-2</v>
      </c>
      <c r="F44" s="19">
        <f t="shared" ca="1" si="16"/>
        <v>-3.0631253333333344E-2</v>
      </c>
      <c r="G44" s="19">
        <f t="shared" ca="1" si="16"/>
        <v>-2.4505002666666678E-2</v>
      </c>
      <c r="H44" s="19">
        <f t="shared" ca="1" si="16"/>
        <v>-1.9604002133333343E-2</v>
      </c>
      <c r="I44" s="19">
        <f t="shared" ca="1" si="16"/>
        <v>-1.5683201706666674E-2</v>
      </c>
      <c r="J44" s="19">
        <f t="shared" ca="1" si="16"/>
        <v>-1.2546561365333339E-2</v>
      </c>
      <c r="K44" s="19">
        <f t="shared" ca="1" si="16"/>
        <v>-1.0037249092266672E-2</v>
      </c>
      <c r="L44" s="19">
        <f t="shared" ca="1" si="16"/>
        <v>-8.0297992738133372E-3</v>
      </c>
    </row>
    <row r="45" spans="1:12" x14ac:dyDescent="0.4">
      <c r="A45" s="15" t="s">
        <v>249</v>
      </c>
      <c r="B45" s="19">
        <f t="shared" ref="B45:L45" ca="1" si="17">B43+B44</f>
        <v>2.781666666666667E-2</v>
      </c>
      <c r="C45" s="19">
        <f t="shared" ca="1" si="17"/>
        <v>4.277333333333333E-2</v>
      </c>
      <c r="D45" s="19">
        <f t="shared" ca="1" si="17"/>
        <v>5.4738666666666658E-2</v>
      </c>
      <c r="E45" s="19">
        <f t="shared" ca="1" si="17"/>
        <v>6.431093333333332E-2</v>
      </c>
      <c r="F45" s="19">
        <f t="shared" ca="1" si="17"/>
        <v>7.1968746666666653E-2</v>
      </c>
      <c r="G45" s="19">
        <f t="shared" ca="1" si="17"/>
        <v>7.8094997333333319E-2</v>
      </c>
      <c r="H45" s="19">
        <f t="shared" ca="1" si="17"/>
        <v>8.2995997866666657E-2</v>
      </c>
      <c r="I45" s="19">
        <f t="shared" ca="1" si="17"/>
        <v>8.6916798293333319E-2</v>
      </c>
      <c r="J45" s="19">
        <f t="shared" ca="1" si="17"/>
        <v>9.0053438634666652E-2</v>
      </c>
      <c r="K45" s="19">
        <f t="shared" ca="1" si="17"/>
        <v>9.2562750907733332E-2</v>
      </c>
      <c r="L45" s="19">
        <f t="shared" ca="1" si="17"/>
        <v>9.457020072618666E-2</v>
      </c>
    </row>
    <row r="46" spans="1:12" x14ac:dyDescent="0.4">
      <c r="A46" s="15" t="s">
        <v>385</v>
      </c>
      <c r="B46" s="20"/>
      <c r="C46" s="20">
        <f t="shared" ref="C46:L46" ca="1" si="18">B47*C45</f>
        <v>69.54943999999999</v>
      </c>
      <c r="D46" s="20">
        <f t="shared" ca="1" si="18"/>
        <v>92.812115613013319</v>
      </c>
      <c r="E46" s="20">
        <f t="shared" ca="1" si="18"/>
        <v>115.01120077892476</v>
      </c>
      <c r="F46" s="20">
        <f t="shared" ca="1" si="18"/>
        <v>136.9833517170064</v>
      </c>
      <c r="G46" s="20">
        <f t="shared" ca="1" si="18"/>
        <v>159.34160482181838</v>
      </c>
      <c r="H46" s="20">
        <f t="shared" ca="1" si="18"/>
        <v>182.56610668971314</v>
      </c>
      <c r="I46" s="20">
        <f t="shared" ca="1" si="18"/>
        <v>207.0587438914587</v>
      </c>
      <c r="J46" s="20">
        <f t="shared" ca="1" si="18"/>
        <v>233.17740057857975</v>
      </c>
      <c r="K46" s="20">
        <f t="shared" ca="1" si="18"/>
        <v>261.25836111319654</v>
      </c>
      <c r="L46" s="20">
        <f t="shared" ca="1" si="18"/>
        <v>291.63164380556418</v>
      </c>
    </row>
    <row r="47" spans="1:12" x14ac:dyDescent="0.4">
      <c r="A47" s="15" t="s">
        <v>383</v>
      </c>
      <c r="B47" s="20">
        <f ca="1">$F$8</f>
        <v>1626</v>
      </c>
      <c r="C47" s="20">
        <f t="shared" ref="C47:L47" ca="1" si="19">B47+C46</f>
        <v>1695.54944</v>
      </c>
      <c r="D47" s="20">
        <f t="shared" ca="1" si="19"/>
        <v>1788.3615556130133</v>
      </c>
      <c r="E47" s="20">
        <f t="shared" ca="1" si="19"/>
        <v>1903.3727563919381</v>
      </c>
      <c r="F47" s="20">
        <f t="shared" ca="1" si="19"/>
        <v>2040.3561081089445</v>
      </c>
      <c r="G47" s="20">
        <f t="shared" ca="1" si="19"/>
        <v>2199.6977129307629</v>
      </c>
      <c r="H47" s="20">
        <f t="shared" ca="1" si="19"/>
        <v>2382.2638196204762</v>
      </c>
      <c r="I47" s="20">
        <f t="shared" ca="1" si="19"/>
        <v>2589.3225635119347</v>
      </c>
      <c r="J47" s="20">
        <f t="shared" ca="1" si="19"/>
        <v>2822.4999640905144</v>
      </c>
      <c r="K47" s="20">
        <f t="shared" ca="1" si="19"/>
        <v>3083.7583252037111</v>
      </c>
      <c r="L47" s="20">
        <f t="shared" ca="1" si="19"/>
        <v>3375.3899690092753</v>
      </c>
    </row>
    <row r="48" spans="1:12" x14ac:dyDescent="0.4">
      <c r="A48" s="15" t="s">
        <v>398</v>
      </c>
      <c r="B48" s="20"/>
      <c r="C48" s="20">
        <f t="shared" ref="C48:L48" ca="1" si="20">C46-B47*C43</f>
        <v>-97.27816</v>
      </c>
      <c r="D48" s="20">
        <f t="shared" ca="1" si="20"/>
        <v>-81.151256930986662</v>
      </c>
      <c r="E48" s="20">
        <f t="shared" ca="1" si="20"/>
        <v>-68.474694826970406</v>
      </c>
      <c r="F48" s="20">
        <f t="shared" ca="1" si="20"/>
        <v>-58.30269308880645</v>
      </c>
      <c r="G48" s="20">
        <f t="shared" ca="1" si="20"/>
        <v>-49.998931870159311</v>
      </c>
      <c r="H48" s="20">
        <f t="shared" ca="1" si="20"/>
        <v>-43.122878656983119</v>
      </c>
      <c r="I48" s="20">
        <f t="shared" ca="1" si="20"/>
        <v>-37.361524001602135</v>
      </c>
      <c r="J48" s="20">
        <f t="shared" ca="1" si="20"/>
        <v>-32.487094437744759</v>
      </c>
      <c r="K48" s="20">
        <f t="shared" ca="1" si="20"/>
        <v>-28.330135202490226</v>
      </c>
      <c r="L48" s="20">
        <f t="shared" ca="1" si="20"/>
        <v>-24.761960360336559</v>
      </c>
    </row>
    <row r="49" spans="1:19" x14ac:dyDescent="0.4">
      <c r="A49" s="15" t="s">
        <v>399</v>
      </c>
      <c r="B49" s="62">
        <f ca="1">NPV($B$3,C48:L48)</f>
        <v>-355.00432128987438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1270.9956787101255</v>
      </c>
      <c r="C51" s="63">
        <f ca="1">B51/(1+$B$3)^($H$8/365)</f>
        <v>1298.1502269759828</v>
      </c>
    </row>
    <row r="52" spans="1:19" x14ac:dyDescent="0.4">
      <c r="A52" s="15" t="s">
        <v>363</v>
      </c>
      <c r="B52" s="23">
        <f ca="1">B51*100000000/($B$4-$B$5)</f>
        <v>10826.198285435481</v>
      </c>
      <c r="C52" s="23">
        <f ca="1">B52/(1+$B$3)^($H$8/365)</f>
        <v>11057.49767441212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127</v>
      </c>
      <c r="C56" s="76">
        <f t="shared" si="22"/>
        <v>202</v>
      </c>
      <c r="D56" s="76">
        <f t="shared" si="22"/>
        <v>-110</v>
      </c>
      <c r="E56" s="76">
        <f t="shared" si="22"/>
        <v>74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45.229900000000008</v>
      </c>
      <c r="K56" s="179">
        <f t="shared" ca="1" si="24"/>
        <v>46.488045051666674</v>
      </c>
      <c r="L56" s="179">
        <f t="shared" ca="1" si="24"/>
        <v>47.781187504853868</v>
      </c>
      <c r="M56" s="179">
        <f t="shared" ca="1" si="24"/>
        <v>49.110300870613891</v>
      </c>
      <c r="N56" s="179">
        <f t="shared" ca="1" si="24"/>
        <v>50.476385739831464</v>
      </c>
      <c r="O56" s="179">
        <f t="shared" ca="1" si="24"/>
        <v>51.880470536494443</v>
      </c>
      <c r="P56" s="179">
        <f t="shared" ca="1" si="24"/>
        <v>53.323612291917925</v>
      </c>
      <c r="Q56" s="179">
        <f t="shared" ca="1" si="24"/>
        <v>54.806897440504777</v>
      </c>
      <c r="R56" s="179">
        <f t="shared" ca="1" si="24"/>
        <v>56.331442637641487</v>
      </c>
      <c r="S56" s="179">
        <f t="shared" ca="1" si="24"/>
        <v>57.898395600345211</v>
      </c>
    </row>
    <row r="57" spans="1:19" x14ac:dyDescent="0.4">
      <c r="A57" s="1" t="s">
        <v>403</v>
      </c>
      <c r="B57" s="76">
        <f t="shared" ref="B57:I57" si="25">E5</f>
        <v>127</v>
      </c>
      <c r="C57" s="76">
        <f t="shared" si="25"/>
        <v>202</v>
      </c>
      <c r="D57" s="76">
        <f t="shared" si="25"/>
        <v>-110</v>
      </c>
      <c r="E57" s="76">
        <f t="shared" si="25"/>
        <v>74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57.38967000000001</v>
      </c>
      <c r="K57" s="179">
        <f t="shared" ca="1" si="26"/>
        <v>70.745292576585015</v>
      </c>
      <c r="L57" s="179">
        <f t="shared" ca="1" si="26"/>
        <v>84.343983698821816</v>
      </c>
      <c r="M57" s="179">
        <f t="shared" ca="1" si="26"/>
        <v>98.422336113617447</v>
      </c>
      <c r="N57" s="179">
        <f t="shared" ca="1" si="26"/>
        <v>113.19481488688999</v>
      </c>
      <c r="O57" s="179">
        <f t="shared" ca="1" si="26"/>
        <v>128.86303502075179</v>
      </c>
      <c r="P57" s="179">
        <f t="shared" ca="1" si="26"/>
        <v>145.62280981126827</v>
      </c>
      <c r="Q57" s="179">
        <f t="shared" ca="1" si="26"/>
        <v>163.66969339826298</v>
      </c>
      <c r="R57" s="179">
        <f t="shared" ca="1" si="26"/>
        <v>183.20350949338757</v>
      </c>
      <c r="S57" s="179">
        <f t="shared" ca="1" si="26"/>
        <v>204.43220732971969</v>
      </c>
    </row>
    <row r="58" spans="1:19" x14ac:dyDescent="0.4">
      <c r="A58" s="1" t="s">
        <v>404</v>
      </c>
      <c r="B58" s="76">
        <f t="shared" ref="B58:I58" si="27">E5</f>
        <v>127</v>
      </c>
      <c r="C58" s="76">
        <f t="shared" si="27"/>
        <v>202</v>
      </c>
      <c r="D58" s="76">
        <f t="shared" si="27"/>
        <v>-110</v>
      </c>
      <c r="E58" s="76">
        <f t="shared" si="27"/>
        <v>74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69.54943999999999</v>
      </c>
      <c r="K58" s="179">
        <f t="shared" ca="1" si="28"/>
        <v>92.812115613013319</v>
      </c>
      <c r="L58" s="179">
        <f t="shared" ca="1" si="28"/>
        <v>115.01120077892476</v>
      </c>
      <c r="M58" s="179">
        <f t="shared" ca="1" si="28"/>
        <v>136.9833517170064</v>
      </c>
      <c r="N58" s="179">
        <f t="shared" ca="1" si="28"/>
        <v>159.34160482181838</v>
      </c>
      <c r="O58" s="179">
        <f t="shared" ca="1" si="28"/>
        <v>182.56610668971314</v>
      </c>
      <c r="P58" s="179">
        <f t="shared" ca="1" si="28"/>
        <v>207.0587438914587</v>
      </c>
      <c r="Q58" s="179">
        <f t="shared" ca="1" si="28"/>
        <v>233.17740057857975</v>
      </c>
      <c r="R58" s="179">
        <f t="shared" ca="1" si="28"/>
        <v>261.25836111319654</v>
      </c>
      <c r="S58" s="179">
        <f t="shared" ca="1" si="28"/>
        <v>291.63164380556418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127</v>
      </c>
      <c r="C62" s="76">
        <f t="shared" si="30"/>
        <v>202</v>
      </c>
      <c r="D62" s="76">
        <f t="shared" si="30"/>
        <v>-110</v>
      </c>
      <c r="E62" s="76">
        <f t="shared" si="30"/>
        <v>74</v>
      </c>
      <c r="F62" s="76">
        <f t="shared" si="30"/>
        <v>0</v>
      </c>
      <c r="G62" s="76">
        <f t="shared" ca="1" si="30"/>
        <v>45.229900000000008</v>
      </c>
      <c r="H62" s="76">
        <f t="shared" ca="1" si="30"/>
        <v>46.488045051666674</v>
      </c>
      <c r="I62" s="76">
        <f t="shared" ca="1" si="30"/>
        <v>47.781187504853868</v>
      </c>
      <c r="J62" s="76">
        <f t="shared" ca="1" si="30"/>
        <v>49.110300870613891</v>
      </c>
      <c r="K62" s="76">
        <f t="shared" ca="1" si="30"/>
        <v>50.476385739831464</v>
      </c>
      <c r="L62" s="76">
        <f t="shared" ca="1" si="30"/>
        <v>51.880470536494443</v>
      </c>
      <c r="M62" s="76">
        <f t="shared" ca="1" si="30"/>
        <v>53.323612291917925</v>
      </c>
      <c r="N62" s="76">
        <f t="shared" ca="1" si="30"/>
        <v>54.806897440504777</v>
      </c>
      <c r="O62" s="76">
        <f t="shared" ca="1" si="30"/>
        <v>56.331442637641487</v>
      </c>
      <c r="P62" s="76">
        <f t="shared" ca="1" si="30"/>
        <v>57.898395600345211</v>
      </c>
    </row>
    <row r="63" spans="1:19" x14ac:dyDescent="0.4">
      <c r="A63" s="1" t="s">
        <v>403</v>
      </c>
      <c r="B63" s="76">
        <f t="shared" ref="B63:P63" si="31">HLOOKUP(B$60,$B$54:$S$58,4,FALSE)</f>
        <v>127</v>
      </c>
      <c r="C63" s="76">
        <f t="shared" si="31"/>
        <v>202</v>
      </c>
      <c r="D63" s="76">
        <f t="shared" si="31"/>
        <v>-110</v>
      </c>
      <c r="E63" s="76">
        <f t="shared" si="31"/>
        <v>74</v>
      </c>
      <c r="F63" s="76">
        <f t="shared" si="31"/>
        <v>0</v>
      </c>
      <c r="G63" s="76">
        <f t="shared" ca="1" si="31"/>
        <v>57.38967000000001</v>
      </c>
      <c r="H63" s="76">
        <f t="shared" ca="1" si="31"/>
        <v>70.745292576585015</v>
      </c>
      <c r="I63" s="76">
        <f t="shared" ca="1" si="31"/>
        <v>84.343983698821816</v>
      </c>
      <c r="J63" s="76">
        <f t="shared" ca="1" si="31"/>
        <v>98.422336113617447</v>
      </c>
      <c r="K63" s="76">
        <f t="shared" ca="1" si="31"/>
        <v>113.19481488688999</v>
      </c>
      <c r="L63" s="76">
        <f t="shared" ca="1" si="31"/>
        <v>128.86303502075179</v>
      </c>
      <c r="M63" s="76">
        <f t="shared" ca="1" si="31"/>
        <v>145.62280981126827</v>
      </c>
      <c r="N63" s="76">
        <f t="shared" ca="1" si="31"/>
        <v>163.66969339826298</v>
      </c>
      <c r="O63" s="76">
        <f t="shared" ca="1" si="31"/>
        <v>183.20350949338757</v>
      </c>
      <c r="P63" s="76">
        <f t="shared" ca="1" si="31"/>
        <v>204.43220732971969</v>
      </c>
    </row>
    <row r="64" spans="1:19" x14ac:dyDescent="0.4">
      <c r="A64" s="1" t="s">
        <v>404</v>
      </c>
      <c r="B64" s="76">
        <f t="shared" ref="B64:P64" si="32">HLOOKUP(B$60,$B$54:$S$58,5,FALSE)</f>
        <v>127</v>
      </c>
      <c r="C64" s="76">
        <f t="shared" si="32"/>
        <v>202</v>
      </c>
      <c r="D64" s="76">
        <f t="shared" si="32"/>
        <v>-110</v>
      </c>
      <c r="E64" s="76">
        <f t="shared" si="32"/>
        <v>74</v>
      </c>
      <c r="F64" s="76">
        <f t="shared" si="32"/>
        <v>0</v>
      </c>
      <c r="G64" s="76">
        <f t="shared" ca="1" si="32"/>
        <v>69.54943999999999</v>
      </c>
      <c r="H64" s="76">
        <f t="shared" ca="1" si="32"/>
        <v>92.812115613013319</v>
      </c>
      <c r="I64" s="76">
        <f t="shared" ca="1" si="32"/>
        <v>115.01120077892476</v>
      </c>
      <c r="J64" s="76">
        <f t="shared" ca="1" si="32"/>
        <v>136.9833517170064</v>
      </c>
      <c r="K64" s="76">
        <f t="shared" ca="1" si="32"/>
        <v>159.34160482181838</v>
      </c>
      <c r="L64" s="76">
        <f t="shared" ca="1" si="32"/>
        <v>182.56610668971314</v>
      </c>
      <c r="M64" s="76">
        <f t="shared" ca="1" si="32"/>
        <v>207.0587438914587</v>
      </c>
      <c r="N64" s="76">
        <f t="shared" ca="1" si="32"/>
        <v>233.17740057857975</v>
      </c>
      <c r="O64" s="76">
        <f t="shared" ca="1" si="32"/>
        <v>261.25836111319654</v>
      </c>
      <c r="P64" s="76">
        <f t="shared" ca="1" si="32"/>
        <v>291.63164380556418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2026-03-20T06:14:07Z</dcterms:modified>
</cp:coreProperties>
</file>