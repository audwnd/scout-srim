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A1A39B40-A806-4B48-AB20-8131291A4EFD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C114" i="6" s="1"/>
  <c r="D114" i="6" s="1"/>
  <c r="E114" i="6" s="1"/>
  <c r="F114" i="6" s="1"/>
  <c r="G114" i="6" s="1"/>
  <c r="B105" i="6"/>
  <c r="B101" i="6"/>
  <c r="B88" i="6"/>
  <c r="A79" i="6"/>
  <c r="H78" i="6"/>
  <c r="C78" i="6"/>
  <c r="B102" i="6" s="1"/>
  <c r="C102" i="6" s="1"/>
  <c r="D102" i="6" s="1"/>
  <c r="E102" i="6" s="1"/>
  <c r="F102" i="6" s="1"/>
  <c r="G102" i="6" s="1"/>
  <c r="H102" i="6" s="1"/>
  <c r="I102" i="6" s="1"/>
  <c r="J102" i="6" s="1"/>
  <c r="K102" i="6" s="1"/>
  <c r="L102" i="6" s="1"/>
  <c r="E77" i="6"/>
  <c r="D77" i="6"/>
  <c r="C77" i="6"/>
  <c r="B77" i="6"/>
  <c r="G76" i="6"/>
  <c r="E76" i="6"/>
  <c r="D76" i="6"/>
  <c r="C76" i="6"/>
  <c r="C72" i="6" s="1"/>
  <c r="B76" i="6"/>
  <c r="B72" i="6" s="1"/>
  <c r="G75" i="6"/>
  <c r="L74" i="6"/>
  <c r="G74" i="6"/>
  <c r="L73" i="6"/>
  <c r="G73" i="6"/>
  <c r="E73" i="6"/>
  <c r="D73" i="6"/>
  <c r="C73" i="6"/>
  <c r="B73" i="6"/>
  <c r="L72" i="6"/>
  <c r="E72" i="6"/>
  <c r="D72" i="6"/>
  <c r="L71" i="6"/>
  <c r="L70" i="6" s="1"/>
  <c r="E71" i="6"/>
  <c r="F71" i="6" s="1"/>
  <c r="D70" i="6"/>
  <c r="C70" i="6"/>
  <c r="B70" i="6"/>
  <c r="B66" i="6"/>
  <c r="B55" i="6"/>
  <c r="B51" i="6"/>
  <c r="B43" i="6"/>
  <c r="B39" i="6"/>
  <c r="B31" i="6"/>
  <c r="B27" i="6"/>
  <c r="B14" i="6"/>
  <c r="G13" i="6"/>
  <c r="B15" i="6" s="1"/>
  <c r="C15" i="6" s="1"/>
  <c r="B8" i="6"/>
  <c r="B11" i="6" s="1"/>
  <c r="C14" i="6" s="1"/>
  <c r="E61" i="5"/>
  <c r="B61" i="5"/>
  <c r="I58" i="5"/>
  <c r="E58" i="5"/>
  <c r="E64" i="5" s="1"/>
  <c r="D58" i="5"/>
  <c r="D64" i="5" s="1"/>
  <c r="C58" i="5"/>
  <c r="C64" i="5" s="1"/>
  <c r="I57" i="5"/>
  <c r="H57" i="5"/>
  <c r="G57" i="5"/>
  <c r="K55" i="5"/>
  <c r="J55" i="5"/>
  <c r="D55" i="5"/>
  <c r="D61" i="5" s="1"/>
  <c r="C55" i="5"/>
  <c r="C61" i="5" s="1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E16" i="5"/>
  <c r="F16" i="5" s="1"/>
  <c r="B16" i="5"/>
  <c r="C16" i="5" s="1"/>
  <c r="D16" i="5" s="1"/>
  <c r="H7" i="5"/>
  <c r="H8" i="5" s="1"/>
  <c r="L5" i="5"/>
  <c r="I56" i="5" s="1"/>
  <c r="K5" i="5"/>
  <c r="J5" i="5"/>
  <c r="I5" i="5"/>
  <c r="H5" i="5"/>
  <c r="E56" i="5" s="1"/>
  <c r="E62" i="5" s="1"/>
  <c r="G5" i="5"/>
  <c r="D56" i="5" s="1"/>
  <c r="D62" i="5" s="1"/>
  <c r="F5" i="5"/>
  <c r="C57" i="5" s="1"/>
  <c r="C63" i="5" s="1"/>
  <c r="E5" i="5"/>
  <c r="B58" i="5" s="1"/>
  <c r="B64" i="5" s="1"/>
  <c r="L4" i="5"/>
  <c r="I55" i="5" s="1"/>
  <c r="I54" i="5" s="1"/>
  <c r="K4" i="5"/>
  <c r="H55" i="5" s="1"/>
  <c r="H54" i="5" s="1"/>
  <c r="J4" i="5"/>
  <c r="G55" i="5" s="1"/>
  <c r="G54" i="5" s="1"/>
  <c r="I4" i="5"/>
  <c r="F55" i="5" s="1"/>
  <c r="F61" i="5" s="1"/>
  <c r="H4" i="5"/>
  <c r="E55" i="5" s="1"/>
  <c r="G4" i="5"/>
  <c r="F4" i="5"/>
  <c r="E4" i="5"/>
  <c r="B55" i="5" s="1"/>
  <c r="L3" i="5"/>
  <c r="K3" i="5"/>
  <c r="J3" i="5"/>
  <c r="I3" i="5"/>
  <c r="H3" i="5"/>
  <c r="G3" i="5"/>
  <c r="F3" i="5"/>
  <c r="E3" i="5"/>
  <c r="B3" i="5"/>
  <c r="B43" i="5" s="1"/>
  <c r="L2" i="5"/>
  <c r="K2" i="5"/>
  <c r="J2" i="5"/>
  <c r="I2" i="5"/>
  <c r="H2" i="5"/>
  <c r="G2" i="5"/>
  <c r="F2" i="5"/>
  <c r="E2" i="5"/>
  <c r="B2" i="5"/>
  <c r="G82" i="4"/>
  <c r="H82" i="4" s="1"/>
  <c r="G66" i="4"/>
  <c r="H66" i="4" s="1"/>
  <c r="G24" i="4"/>
  <c r="H24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H38" i="3"/>
  <c r="G38" i="3"/>
  <c r="F38" i="3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G34" i="3"/>
  <c r="G39" i="3" s="1"/>
  <c r="F34" i="3"/>
  <c r="F39" i="3" s="1"/>
  <c r="E34" i="3"/>
  <c r="E39" i="3" s="1"/>
  <c r="D34" i="3"/>
  <c r="D39" i="3" s="1"/>
  <c r="C34" i="3"/>
  <c r="C39" i="3" s="1"/>
  <c r="C33" i="3"/>
  <c r="E24" i="3"/>
  <c r="D24" i="3"/>
  <c r="C24" i="3"/>
  <c r="E23" i="3"/>
  <c r="D23" i="3"/>
  <c r="C23" i="3"/>
  <c r="G22" i="3"/>
  <c r="F22" i="3"/>
  <c r="E22" i="3"/>
  <c r="D22" i="3"/>
  <c r="C22" i="3"/>
  <c r="G21" i="3"/>
  <c r="F21" i="3"/>
  <c r="F33" i="3" s="1"/>
  <c r="E21" i="3"/>
  <c r="E33" i="3" s="1"/>
  <c r="D21" i="3"/>
  <c r="D33" i="3" s="1"/>
  <c r="C21" i="3"/>
  <c r="I20" i="3"/>
  <c r="E20" i="3"/>
  <c r="C17" i="3"/>
  <c r="AF10" i="3"/>
  <c r="B116" i="2"/>
  <c r="D84" i="4"/>
  <c r="I19" i="4"/>
  <c r="I6" i="4"/>
  <c r="C84" i="4"/>
  <c r="I5" i="4"/>
  <c r="I18" i="4"/>
  <c r="I16" i="4"/>
  <c r="F53" i="4"/>
  <c r="B4" i="4"/>
  <c r="I20" i="4"/>
  <c r="I21" i="4"/>
  <c r="I17" i="4"/>
  <c r="D86" i="4"/>
  <c r="I7" i="4"/>
  <c r="E62" i="4"/>
  <c r="I8" i="4"/>
  <c r="C62" i="4"/>
  <c r="M55" i="5" l="1"/>
  <c r="G16" i="5"/>
  <c r="H16" i="5" s="1"/>
  <c r="B16" i="6"/>
  <c r="C16" i="6" s="1"/>
  <c r="B89" i="6"/>
  <c r="C89" i="6" s="1"/>
  <c r="D89" i="6" s="1"/>
  <c r="E89" i="6" s="1"/>
  <c r="F89" i="6" s="1"/>
  <c r="G89" i="6" s="1"/>
  <c r="H89" i="6" s="1"/>
  <c r="I89" i="6" s="1"/>
  <c r="J89" i="6" s="1"/>
  <c r="K89" i="6" s="1"/>
  <c r="L89" i="6" s="1"/>
  <c r="H39" i="3"/>
  <c r="L55" i="5"/>
  <c r="C56" i="5"/>
  <c r="C62" i="5" s="1"/>
  <c r="B40" i="6"/>
  <c r="C40" i="6" s="1"/>
  <c r="D40" i="6" s="1"/>
  <c r="E40" i="6" s="1"/>
  <c r="F40" i="6" s="1"/>
  <c r="G40" i="6" s="1"/>
  <c r="H40" i="6" s="1"/>
  <c r="I40" i="6" s="1"/>
  <c r="J40" i="6" s="1"/>
  <c r="K40" i="6" s="1"/>
  <c r="L40" i="6" s="1"/>
  <c r="D57" i="5"/>
  <c r="D63" i="5" s="1"/>
  <c r="E57" i="5"/>
  <c r="E63" i="5" s="1"/>
  <c r="B8" i="4"/>
  <c r="C7" i="4"/>
  <c r="E5" i="3" s="1"/>
  <c r="B7" i="4"/>
  <c r="E43" i="3"/>
  <c r="B17" i="4"/>
  <c r="B21" i="4"/>
  <c r="B20" i="4"/>
  <c r="C4" i="3"/>
  <c r="B16" i="4"/>
  <c r="B18" i="4"/>
  <c r="B5" i="4"/>
  <c r="C5" i="3" s="1"/>
  <c r="C27" i="3" s="1"/>
  <c r="D41" i="3"/>
  <c r="B6" i="4"/>
  <c r="C6" i="3" s="1"/>
  <c r="B19" i="4"/>
  <c r="E41" i="3"/>
  <c r="G56" i="5"/>
  <c r="G58" i="5"/>
  <c r="C27" i="6"/>
  <c r="B28" i="6"/>
  <c r="C28" i="6" s="1"/>
  <c r="D28" i="6" s="1"/>
  <c r="E28" i="6" s="1"/>
  <c r="F28" i="6" s="1"/>
  <c r="G28" i="6" s="1"/>
  <c r="H28" i="6" s="1"/>
  <c r="I28" i="6" s="1"/>
  <c r="J28" i="6" s="1"/>
  <c r="K28" i="6" s="1"/>
  <c r="L28" i="6" s="1"/>
  <c r="H114" i="6"/>
  <c r="F57" i="5"/>
  <c r="F63" i="5" s="1"/>
  <c r="F58" i="5"/>
  <c r="F64" i="5" s="1"/>
  <c r="F56" i="5"/>
  <c r="F62" i="5" s="1"/>
  <c r="AF7" i="3"/>
  <c r="G33" i="3"/>
  <c r="K21" i="3"/>
  <c r="N55" i="5"/>
  <c r="C43" i="5"/>
  <c r="O55" i="5"/>
  <c r="I16" i="5"/>
  <c r="J54" i="5"/>
  <c r="K54" i="5" s="1"/>
  <c r="L54" i="5" s="1"/>
  <c r="M54" i="5" s="1"/>
  <c r="N54" i="5" s="1"/>
  <c r="O54" i="5" s="1"/>
  <c r="P54" i="5" s="1"/>
  <c r="Q54" i="5" s="1"/>
  <c r="R54" i="5" s="1"/>
  <c r="S54" i="5" s="1"/>
  <c r="H56" i="5"/>
  <c r="H58" i="5"/>
  <c r="B30" i="5"/>
  <c r="F79" i="6"/>
  <c r="B115" i="6"/>
  <c r="B17" i="5"/>
  <c r="B52" i="6"/>
  <c r="C52" i="6" s="1"/>
  <c r="D52" i="6" s="1"/>
  <c r="E52" i="6" s="1"/>
  <c r="F52" i="6" s="1"/>
  <c r="G52" i="6" s="1"/>
  <c r="H52" i="6" s="1"/>
  <c r="I52" i="6" s="1"/>
  <c r="J52" i="6" s="1"/>
  <c r="K52" i="6" s="1"/>
  <c r="L52" i="6" s="1"/>
  <c r="C51" i="6"/>
  <c r="B90" i="6"/>
  <c r="B103" i="6"/>
  <c r="B57" i="5"/>
  <c r="B63" i="5" s="1"/>
  <c r="B56" i="5"/>
  <c r="B62" i="5" s="1"/>
  <c r="C88" i="6"/>
  <c r="C39" i="6"/>
  <c r="C101" i="6"/>
  <c r="A12" i="4"/>
  <c r="I72" i="4"/>
  <c r="C71" i="4"/>
  <c r="H69" i="4"/>
  <c r="E76" i="4"/>
  <c r="G35" i="4"/>
  <c r="G51" i="4"/>
  <c r="A32" i="4"/>
  <c r="E52" i="4"/>
  <c r="G59" i="4"/>
  <c r="F52" i="4"/>
  <c r="I53" i="4"/>
  <c r="H53" i="4"/>
  <c r="E53" i="4"/>
  <c r="H56" i="4"/>
  <c r="D62" i="4"/>
  <c r="A11" i="4"/>
  <c r="B71" i="4"/>
  <c r="G75" i="4"/>
  <c r="I76" i="4"/>
  <c r="E72" i="4"/>
  <c r="H38" i="4"/>
  <c r="E55" i="4"/>
  <c r="B60" i="4"/>
  <c r="F61" i="4"/>
  <c r="F50" i="4"/>
  <c r="C57" i="4"/>
  <c r="A44" i="4"/>
  <c r="H51" i="4"/>
  <c r="D50" i="4"/>
  <c r="A41" i="4"/>
  <c r="A30" i="4"/>
  <c r="F75" i="4"/>
  <c r="I59" i="4"/>
  <c r="F39" i="4"/>
  <c r="H76" i="4"/>
  <c r="F58" i="4"/>
  <c r="E51" i="4"/>
  <c r="B58" i="4"/>
  <c r="I34" i="4"/>
  <c r="G52" i="4"/>
  <c r="H29" i="4"/>
  <c r="A34" i="4"/>
  <c r="G53" i="4"/>
  <c r="E60" i="4"/>
  <c r="B56" i="4"/>
  <c r="B75" i="4"/>
  <c r="A52" i="4"/>
  <c r="A57" i="4"/>
  <c r="C53" i="4"/>
  <c r="A13" i="4"/>
  <c r="E69" i="4"/>
  <c r="F68" i="4"/>
  <c r="G69" i="4"/>
  <c r="C69" i="4"/>
  <c r="A42" i="4"/>
  <c r="I37" i="4"/>
  <c r="H74" i="4"/>
  <c r="C39" i="4"/>
  <c r="B55" i="4"/>
  <c r="G37" i="4"/>
  <c r="D61" i="4"/>
  <c r="H32" i="4"/>
  <c r="D60" i="4"/>
  <c r="B76" i="4"/>
  <c r="D75" i="4"/>
  <c r="A74" i="4"/>
  <c r="D72" i="4"/>
  <c r="H70" i="4"/>
  <c r="E74" i="4"/>
  <c r="F70" i="4"/>
  <c r="B70" i="4"/>
  <c r="A76" i="4"/>
  <c r="A72" i="4"/>
  <c r="E71" i="4"/>
  <c r="B59" i="4"/>
  <c r="D56" i="4"/>
  <c r="G29" i="4"/>
  <c r="B50" i="4"/>
  <c r="H58" i="4"/>
  <c r="A33" i="4"/>
  <c r="A39" i="4"/>
  <c r="D73" i="4"/>
  <c r="H72" i="4"/>
  <c r="C68" i="4"/>
  <c r="I73" i="4"/>
  <c r="E68" i="4"/>
  <c r="D74" i="4"/>
  <c r="E75" i="4"/>
  <c r="G54" i="4"/>
  <c r="G62" i="4"/>
  <c r="H37" i="4"/>
  <c r="C52" i="4"/>
  <c r="F56" i="4"/>
  <c r="H60" i="4"/>
  <c r="D39" i="4"/>
  <c r="A27" i="4"/>
  <c r="A68" i="4"/>
  <c r="D69" i="4"/>
  <c r="B73" i="4"/>
  <c r="C51" i="4"/>
  <c r="C61" i="4"/>
  <c r="A58" i="4"/>
  <c r="F62" i="4"/>
  <c r="I75" i="4"/>
  <c r="D70" i="4"/>
  <c r="F76" i="4"/>
  <c r="H35" i="4"/>
  <c r="I32" i="4"/>
  <c r="E57" i="4"/>
  <c r="G39" i="4"/>
  <c r="E54" i="4"/>
  <c r="G73" i="4"/>
  <c r="C75" i="4"/>
  <c r="A73" i="4"/>
  <c r="F55" i="4"/>
  <c r="D55" i="4"/>
  <c r="I55" i="4"/>
  <c r="H33" i="4"/>
  <c r="C73" i="4"/>
  <c r="D71" i="4"/>
  <c r="G72" i="4"/>
  <c r="F69" i="4"/>
  <c r="G70" i="4"/>
  <c r="I62" i="4"/>
  <c r="E56" i="4"/>
  <c r="A31" i="4"/>
  <c r="B54" i="4"/>
  <c r="A43" i="4"/>
  <c r="D54" i="4"/>
  <c r="B62" i="4"/>
  <c r="I57" i="4"/>
  <c r="I24" i="4"/>
  <c r="A69" i="4"/>
  <c r="E58" i="4"/>
  <c r="H54" i="4"/>
  <c r="D52" i="4"/>
  <c r="A28" i="4"/>
  <c r="D58" i="4"/>
  <c r="G33" i="4"/>
  <c r="I71" i="4"/>
  <c r="F54" i="4"/>
  <c r="I66" i="4"/>
  <c r="I70" i="4"/>
  <c r="B74" i="4"/>
  <c r="C72" i="4"/>
  <c r="H55" i="4"/>
  <c r="D51" i="4"/>
  <c r="D53" i="4"/>
  <c r="G57" i="4"/>
  <c r="I33" i="4"/>
  <c r="H59" i="4"/>
  <c r="F74" i="4"/>
  <c r="F73" i="4"/>
  <c r="A70" i="4"/>
  <c r="D68" i="4"/>
  <c r="C74" i="4"/>
  <c r="A36" i="4"/>
  <c r="C54" i="4"/>
  <c r="A55" i="4"/>
  <c r="C56" i="4"/>
  <c r="E61" i="4"/>
  <c r="G32" i="4"/>
  <c r="B52" i="4"/>
  <c r="G71" i="4"/>
  <c r="A71" i="4"/>
  <c r="I74" i="4"/>
  <c r="H73" i="4"/>
  <c r="I52" i="4"/>
  <c r="A61" i="4"/>
  <c r="I29" i="4"/>
  <c r="A37" i="4"/>
  <c r="A54" i="4"/>
  <c r="A62" i="4"/>
  <c r="B53" i="4"/>
  <c r="A56" i="4"/>
  <c r="F72" i="4"/>
  <c r="C55" i="4"/>
  <c r="G38" i="4"/>
  <c r="G61" i="4"/>
  <c r="D59" i="4"/>
  <c r="H61" i="4"/>
  <c r="I51" i="4"/>
  <c r="C60" i="4"/>
  <c r="G76" i="4"/>
  <c r="A60" i="4"/>
  <c r="F57" i="4"/>
  <c r="C59" i="4"/>
  <c r="I58" i="4"/>
  <c r="I39" i="4"/>
  <c r="H52" i="4"/>
  <c r="A75" i="4"/>
  <c r="H71" i="4"/>
  <c r="C58" i="4"/>
  <c r="I35" i="4"/>
  <c r="I54" i="4"/>
  <c r="G56" i="4"/>
  <c r="G34" i="4"/>
  <c r="I38" i="4"/>
  <c r="F71" i="4"/>
  <c r="E70" i="4"/>
  <c r="D76" i="4"/>
  <c r="G55" i="4"/>
  <c r="H62" i="4"/>
  <c r="A40" i="4"/>
  <c r="F60" i="4"/>
  <c r="I69" i="4"/>
  <c r="E73" i="4"/>
  <c r="B68" i="4"/>
  <c r="B69" i="4"/>
  <c r="A38" i="4"/>
  <c r="F51" i="4"/>
  <c r="A53" i="4"/>
  <c r="B61" i="4"/>
  <c r="E50" i="4"/>
  <c r="I61" i="4"/>
  <c r="A35" i="4"/>
  <c r="H57" i="4"/>
  <c r="I56" i="4"/>
  <c r="B51" i="4"/>
  <c r="G74" i="4"/>
  <c r="E59" i="4"/>
  <c r="B39" i="4"/>
  <c r="F59" i="4"/>
  <c r="I60" i="4"/>
  <c r="A51" i="4"/>
  <c r="C50" i="4"/>
  <c r="C76" i="4"/>
  <c r="H75" i="4"/>
  <c r="C70" i="4"/>
  <c r="B72" i="4"/>
  <c r="A59" i="4"/>
  <c r="H39" i="4"/>
  <c r="H34" i="4"/>
  <c r="B57" i="4"/>
  <c r="G58" i="4"/>
  <c r="G60" i="4"/>
  <c r="E39" i="4"/>
  <c r="A29" i="4"/>
  <c r="D57" i="4"/>
  <c r="K61" i="5" l="1"/>
  <c r="B29" i="6"/>
  <c r="H61" i="5"/>
  <c r="L61" i="5"/>
  <c r="I61" i="5"/>
  <c r="B41" i="6"/>
  <c r="F36" i="3"/>
  <c r="C36" i="3"/>
  <c r="K51" i="4"/>
  <c r="K69" i="4"/>
  <c r="K55" i="4"/>
  <c r="K72" i="4"/>
  <c r="H36" i="3"/>
  <c r="E36" i="3"/>
  <c r="B36" i="3"/>
  <c r="D36" i="3"/>
  <c r="B38" i="3"/>
  <c r="K68" i="4"/>
  <c r="B11" i="3"/>
  <c r="K75" i="4"/>
  <c r="G36" i="3"/>
  <c r="B37" i="3"/>
  <c r="M4" i="5"/>
  <c r="K50" i="4"/>
  <c r="J21" i="3" s="1"/>
  <c r="H21" i="3"/>
  <c r="K60" i="4"/>
  <c r="B9" i="3"/>
  <c r="B10" i="3"/>
  <c r="P55" i="5"/>
  <c r="M61" i="5" s="1"/>
  <c r="J16" i="5"/>
  <c r="D27" i="6"/>
  <c r="C29" i="6"/>
  <c r="C30" i="6" s="1"/>
  <c r="D88" i="6"/>
  <c r="C90" i="6"/>
  <c r="H35" i="3"/>
  <c r="D101" i="6"/>
  <c r="C103" i="6"/>
  <c r="C104" i="6" s="1"/>
  <c r="C17" i="5"/>
  <c r="D39" i="6"/>
  <c r="C41" i="6"/>
  <c r="C42" i="6" s="1"/>
  <c r="C115" i="6"/>
  <c r="B116" i="6"/>
  <c r="B92" i="6"/>
  <c r="F78" i="6"/>
  <c r="H79" i="6" s="1"/>
  <c r="C30" i="5"/>
  <c r="D43" i="5"/>
  <c r="I114" i="6"/>
  <c r="C53" i="6"/>
  <c r="C54" i="6" s="1"/>
  <c r="D51" i="6"/>
  <c r="E4" i="3"/>
  <c r="B4" i="5"/>
  <c r="B53" i="6"/>
  <c r="G61" i="5"/>
  <c r="J61" i="5"/>
  <c r="B5" i="5"/>
  <c r="E6" i="3"/>
  <c r="D53" i="6" l="1"/>
  <c r="E51" i="6"/>
  <c r="C56" i="6"/>
  <c r="C55" i="6"/>
  <c r="C91" i="6"/>
  <c r="C93" i="6" s="1"/>
  <c r="J114" i="6"/>
  <c r="D90" i="6"/>
  <c r="E88" i="6"/>
  <c r="E43" i="5"/>
  <c r="D17" i="5"/>
  <c r="Q55" i="5"/>
  <c r="N61" i="5" s="1"/>
  <c r="K16" i="5"/>
  <c r="C106" i="6"/>
  <c r="C105" i="6"/>
  <c r="D103" i="6"/>
  <c r="E101" i="6"/>
  <c r="D30" i="5"/>
  <c r="D115" i="6"/>
  <c r="C116" i="6"/>
  <c r="C117" i="6" s="1"/>
  <c r="C44" i="6"/>
  <c r="C43" i="6"/>
  <c r="C32" i="6"/>
  <c r="C31" i="6"/>
  <c r="D41" i="6"/>
  <c r="E39" i="6"/>
  <c r="E27" i="6"/>
  <c r="D29" i="6"/>
  <c r="K76" i="4"/>
  <c r="K61" i="4"/>
  <c r="N21" i="3"/>
  <c r="L21" i="3"/>
  <c r="M21" i="3" s="1"/>
  <c r="C92" i="6" l="1"/>
  <c r="D30" i="6"/>
  <c r="D32" i="6" s="1"/>
  <c r="D31" i="6"/>
  <c r="D42" i="6"/>
  <c r="D44" i="6" s="1"/>
  <c r="D43" i="6"/>
  <c r="F43" i="5"/>
  <c r="E17" i="5"/>
  <c r="C119" i="6"/>
  <c r="C118" i="6"/>
  <c r="E115" i="6"/>
  <c r="D116" i="6"/>
  <c r="E90" i="6"/>
  <c r="F88" i="6"/>
  <c r="E30" i="5"/>
  <c r="K114" i="6"/>
  <c r="E103" i="6"/>
  <c r="F101" i="6"/>
  <c r="M5" i="5"/>
  <c r="K78" i="4"/>
  <c r="M3" i="5"/>
  <c r="D104" i="6"/>
  <c r="D106" i="6" s="1"/>
  <c r="D91" i="6"/>
  <c r="D93" i="6" s="1"/>
  <c r="E29" i="6"/>
  <c r="F27" i="6"/>
  <c r="E53" i="6"/>
  <c r="F51" i="6"/>
  <c r="R55" i="5"/>
  <c r="O61" i="5" s="1"/>
  <c r="L16" i="5"/>
  <c r="D54" i="6"/>
  <c r="D56" i="6" s="1"/>
  <c r="D55" i="6"/>
  <c r="E41" i="6"/>
  <c r="F39" i="6"/>
  <c r="D92" i="6" l="1"/>
  <c r="G88" i="6"/>
  <c r="F90" i="6"/>
  <c r="E91" i="6"/>
  <c r="E93" i="6" s="1"/>
  <c r="F17" i="5"/>
  <c r="S55" i="5"/>
  <c r="P61" i="5" s="1"/>
  <c r="H22" i="3"/>
  <c r="M2" i="5"/>
  <c r="F103" i="6"/>
  <c r="G101" i="6"/>
  <c r="G43" i="5"/>
  <c r="L114" i="6"/>
  <c r="F53" i="6"/>
  <c r="G51" i="6"/>
  <c r="E31" i="6"/>
  <c r="E30" i="6"/>
  <c r="E32" i="6" s="1"/>
  <c r="G27" i="6"/>
  <c r="F29" i="6"/>
  <c r="F41" i="6"/>
  <c r="G39" i="6"/>
  <c r="F115" i="6"/>
  <c r="E116" i="6"/>
  <c r="D117" i="6"/>
  <c r="D119" i="6" s="1"/>
  <c r="D105" i="6"/>
  <c r="E54" i="6"/>
  <c r="E56" i="6" s="1"/>
  <c r="E55" i="6"/>
  <c r="E42" i="6"/>
  <c r="E44" i="6" s="1"/>
  <c r="F30" i="5"/>
  <c r="E43" i="6" l="1"/>
  <c r="E92" i="6"/>
  <c r="H101" i="6"/>
  <c r="G103" i="6"/>
  <c r="D118" i="6"/>
  <c r="G115" i="6"/>
  <c r="F116" i="6"/>
  <c r="F30" i="6"/>
  <c r="F32" i="6" s="1"/>
  <c r="AF9" i="3"/>
  <c r="I22" i="3"/>
  <c r="J22" i="3"/>
  <c r="I21" i="3"/>
  <c r="F24" i="3"/>
  <c r="AF8" i="3" s="1"/>
  <c r="D20" i="3" s="1"/>
  <c r="B7" i="5" s="1"/>
  <c r="G24" i="3"/>
  <c r="AF6" i="3" s="1"/>
  <c r="G41" i="6"/>
  <c r="H39" i="6"/>
  <c r="G29" i="6"/>
  <c r="H27" i="6"/>
  <c r="G30" i="5"/>
  <c r="G17" i="5"/>
  <c r="G53" i="6"/>
  <c r="H51" i="6"/>
  <c r="F42" i="6"/>
  <c r="F44" i="6" s="1"/>
  <c r="F54" i="6"/>
  <c r="F56" i="6" s="1"/>
  <c r="F55" i="6"/>
  <c r="G90" i="6"/>
  <c r="H88" i="6"/>
  <c r="F91" i="6"/>
  <c r="F93" i="6" s="1"/>
  <c r="F92" i="6"/>
  <c r="E104" i="6"/>
  <c r="E106" i="6" s="1"/>
  <c r="H43" i="5"/>
  <c r="H41" i="6" l="1"/>
  <c r="I39" i="6"/>
  <c r="G54" i="6"/>
  <c r="G56" i="6" s="1"/>
  <c r="F43" i="6"/>
  <c r="I43" i="5"/>
  <c r="H17" i="5"/>
  <c r="F31" i="6"/>
  <c r="B18" i="5"/>
  <c r="B44" i="5"/>
  <c r="B31" i="5"/>
  <c r="F8" i="5"/>
  <c r="H53" i="6"/>
  <c r="I51" i="6"/>
  <c r="E105" i="6"/>
  <c r="H115" i="6"/>
  <c r="G116" i="6"/>
  <c r="H29" i="6"/>
  <c r="I27" i="6"/>
  <c r="I101" i="6"/>
  <c r="H103" i="6"/>
  <c r="H30" i="5"/>
  <c r="E117" i="6"/>
  <c r="E119" i="6" s="1"/>
  <c r="E118" i="6"/>
  <c r="G91" i="6"/>
  <c r="G93" i="6" s="1"/>
  <c r="G92" i="6"/>
  <c r="I88" i="6"/>
  <c r="H90" i="6"/>
  <c r="B47" i="5" l="1"/>
  <c r="B34" i="5"/>
  <c r="B21" i="5"/>
  <c r="C31" i="5"/>
  <c r="B32" i="5"/>
  <c r="C44" i="5"/>
  <c r="B45" i="5"/>
  <c r="I17" i="5"/>
  <c r="J101" i="6"/>
  <c r="I103" i="6"/>
  <c r="I29" i="6"/>
  <c r="J27" i="6"/>
  <c r="J43" i="5"/>
  <c r="G42" i="6"/>
  <c r="G44" i="6" s="1"/>
  <c r="I53" i="6"/>
  <c r="J51" i="6"/>
  <c r="C18" i="5"/>
  <c r="B19" i="5"/>
  <c r="I30" i="5"/>
  <c r="G30" i="6"/>
  <c r="G32" i="6" s="1"/>
  <c r="G55" i="6"/>
  <c r="I90" i="6"/>
  <c r="J88" i="6"/>
  <c r="F117" i="6"/>
  <c r="F119" i="6" s="1"/>
  <c r="F118" i="6"/>
  <c r="I115" i="6"/>
  <c r="H116" i="6"/>
  <c r="I41" i="6"/>
  <c r="J39" i="6"/>
  <c r="H91" i="6"/>
  <c r="H93" i="6" s="1"/>
  <c r="F104" i="6"/>
  <c r="F106" i="6" s="1"/>
  <c r="F105" i="6"/>
  <c r="D18" i="5" l="1"/>
  <c r="C19" i="5"/>
  <c r="J115" i="6"/>
  <c r="I116" i="6"/>
  <c r="J17" i="5"/>
  <c r="G117" i="6"/>
  <c r="G119" i="6" s="1"/>
  <c r="G118" i="6"/>
  <c r="K43" i="5"/>
  <c r="J90" i="6"/>
  <c r="K88" i="6"/>
  <c r="J29" i="6"/>
  <c r="K27" i="6"/>
  <c r="H54" i="6"/>
  <c r="H56" i="6" s="1"/>
  <c r="G31" i="6"/>
  <c r="K101" i="6"/>
  <c r="J103" i="6"/>
  <c r="G104" i="6"/>
  <c r="G106" i="6" s="1"/>
  <c r="J30" i="5"/>
  <c r="D44" i="5"/>
  <c r="C45" i="5"/>
  <c r="C46" i="5" s="1"/>
  <c r="C47" i="5" s="1"/>
  <c r="C20" i="5"/>
  <c r="C21" i="5" s="1"/>
  <c r="H92" i="6"/>
  <c r="D31" i="5"/>
  <c r="C32" i="5"/>
  <c r="C33" i="5" s="1"/>
  <c r="C34" i="5" s="1"/>
  <c r="J41" i="6"/>
  <c r="K39" i="6"/>
  <c r="K51" i="6"/>
  <c r="J53" i="6"/>
  <c r="G43" i="6"/>
  <c r="C35" i="5" l="1"/>
  <c r="J57" i="5"/>
  <c r="G63" i="5" s="1"/>
  <c r="L27" i="6"/>
  <c r="L29" i="6" s="1"/>
  <c r="K29" i="6"/>
  <c r="C22" i="5"/>
  <c r="J56" i="5"/>
  <c r="G62" i="5" s="1"/>
  <c r="C48" i="5"/>
  <c r="J58" i="5"/>
  <c r="G64" i="5" s="1"/>
  <c r="L43" i="5"/>
  <c r="E44" i="5"/>
  <c r="D45" i="5"/>
  <c r="D46" i="5" s="1"/>
  <c r="H117" i="6"/>
  <c r="H119" i="6" s="1"/>
  <c r="H42" i="6"/>
  <c r="H44" i="6" s="1"/>
  <c r="K30" i="5"/>
  <c r="K17" i="5"/>
  <c r="K41" i="6"/>
  <c r="L39" i="6"/>
  <c r="L41" i="6" s="1"/>
  <c r="K90" i="6"/>
  <c r="L88" i="6"/>
  <c r="L90" i="6" s="1"/>
  <c r="L51" i="6"/>
  <c r="L53" i="6" s="1"/>
  <c r="K53" i="6"/>
  <c r="G105" i="6"/>
  <c r="E31" i="5"/>
  <c r="D32" i="5"/>
  <c r="D33" i="5" s="1"/>
  <c r="H30" i="6"/>
  <c r="H32" i="6" s="1"/>
  <c r="K103" i="6"/>
  <c r="L101" i="6"/>
  <c r="L103" i="6" s="1"/>
  <c r="K115" i="6"/>
  <c r="J116" i="6"/>
  <c r="I91" i="6"/>
  <c r="I93" i="6" s="1"/>
  <c r="H55" i="6"/>
  <c r="E18" i="5"/>
  <c r="D19" i="5"/>
  <c r="D20" i="5" s="1"/>
  <c r="D35" i="5" l="1"/>
  <c r="K57" i="5"/>
  <c r="H63" i="5" s="1"/>
  <c r="D34" i="5"/>
  <c r="D48" i="5"/>
  <c r="K58" i="5"/>
  <c r="H64" i="5" s="1"/>
  <c r="D47" i="5"/>
  <c r="D22" i="5"/>
  <c r="K56" i="5"/>
  <c r="H62" i="5" s="1"/>
  <c r="D21" i="5"/>
  <c r="F44" i="5"/>
  <c r="E45" i="5"/>
  <c r="I92" i="6"/>
  <c r="L115" i="6"/>
  <c r="L116" i="6" s="1"/>
  <c r="K116" i="6"/>
  <c r="F18" i="5"/>
  <c r="E19" i="5"/>
  <c r="I54" i="6"/>
  <c r="I56" i="6" s="1"/>
  <c r="I55" i="6"/>
  <c r="H118" i="6"/>
  <c r="L17" i="5"/>
  <c r="H31" i="6"/>
  <c r="L30" i="5"/>
  <c r="F31" i="5"/>
  <c r="E32" i="5"/>
  <c r="H104" i="6"/>
  <c r="H106" i="6" s="1"/>
  <c r="H105" i="6"/>
  <c r="H43" i="6"/>
  <c r="G18" i="5" l="1"/>
  <c r="F19" i="5"/>
  <c r="I104" i="6"/>
  <c r="I106" i="6" s="1"/>
  <c r="G31" i="5"/>
  <c r="F32" i="5"/>
  <c r="G44" i="5"/>
  <c r="F45" i="5"/>
  <c r="I30" i="6"/>
  <c r="I32" i="6" s="1"/>
  <c r="E20" i="5"/>
  <c r="I42" i="6"/>
  <c r="I44" i="6" s="1"/>
  <c r="J91" i="6"/>
  <c r="J93" i="6" s="1"/>
  <c r="J92" i="6"/>
  <c r="E46" i="5"/>
  <c r="E47" i="5" s="1"/>
  <c r="I117" i="6"/>
  <c r="I119" i="6" s="1"/>
  <c r="E33" i="5"/>
  <c r="E34" i="5" s="1"/>
  <c r="J54" i="6"/>
  <c r="J56" i="6" s="1"/>
  <c r="J55" i="6"/>
  <c r="I105" i="6" l="1"/>
  <c r="F46" i="5"/>
  <c r="F47" i="5" s="1"/>
  <c r="I43" i="6"/>
  <c r="E22" i="5"/>
  <c r="L56" i="5"/>
  <c r="I62" i="5" s="1"/>
  <c r="E21" i="5"/>
  <c r="K54" i="6"/>
  <c r="K56" i="6" s="1"/>
  <c r="K55" i="6"/>
  <c r="I31" i="6"/>
  <c r="F33" i="5"/>
  <c r="F34" i="5"/>
  <c r="H44" i="5"/>
  <c r="G45" i="5"/>
  <c r="E35" i="5"/>
  <c r="L57" i="5"/>
  <c r="I63" i="5" s="1"/>
  <c r="I118" i="6"/>
  <c r="J104" i="6"/>
  <c r="J106" i="6" s="1"/>
  <c r="K91" i="6"/>
  <c r="K93" i="6" s="1"/>
  <c r="H31" i="5"/>
  <c r="G32" i="5"/>
  <c r="L58" i="5"/>
  <c r="I64" i="5" s="1"/>
  <c r="E48" i="5"/>
  <c r="H18" i="5"/>
  <c r="G19" i="5"/>
  <c r="K92" i="6" l="1"/>
  <c r="G46" i="5"/>
  <c r="G47" i="5"/>
  <c r="J117" i="6"/>
  <c r="J119" i="6" s="1"/>
  <c r="G33" i="5"/>
  <c r="G34" i="5" s="1"/>
  <c r="M57" i="5"/>
  <c r="J63" i="5" s="1"/>
  <c r="F35" i="5"/>
  <c r="J30" i="6"/>
  <c r="J32" i="6" s="1"/>
  <c r="J31" i="6"/>
  <c r="L54" i="6"/>
  <c r="L56" i="6" s="1"/>
  <c r="B57" i="6" s="1"/>
  <c r="B58" i="6" s="1"/>
  <c r="I44" i="5"/>
  <c r="H45" i="5"/>
  <c r="I18" i="5"/>
  <c r="H19" i="5"/>
  <c r="F20" i="5"/>
  <c r="L91" i="6"/>
  <c r="L93" i="6" s="1"/>
  <c r="B94" i="6" s="1"/>
  <c r="B96" i="6" s="1"/>
  <c r="J42" i="6"/>
  <c r="J44" i="6" s="1"/>
  <c r="J105" i="6"/>
  <c r="I31" i="5"/>
  <c r="H32" i="5"/>
  <c r="M58" i="5"/>
  <c r="J64" i="5" s="1"/>
  <c r="F48" i="5"/>
  <c r="H33" i="5" l="1"/>
  <c r="H34" i="5" s="1"/>
  <c r="J118" i="6"/>
  <c r="J18" i="5"/>
  <c r="I19" i="5"/>
  <c r="J44" i="5"/>
  <c r="I45" i="5"/>
  <c r="L55" i="6"/>
  <c r="K30" i="6"/>
  <c r="K32" i="6" s="1"/>
  <c r="J31" i="5"/>
  <c r="I32" i="5"/>
  <c r="K104" i="6"/>
  <c r="K106" i="6" s="1"/>
  <c r="K105" i="6"/>
  <c r="J43" i="6"/>
  <c r="L92" i="6"/>
  <c r="M56" i="5"/>
  <c r="J62" i="5" s="1"/>
  <c r="F22" i="5"/>
  <c r="B23" i="6"/>
  <c r="B59" i="6"/>
  <c r="C23" i="6" s="1"/>
  <c r="N57" i="5"/>
  <c r="K63" i="5" s="1"/>
  <c r="G35" i="5"/>
  <c r="C96" i="6"/>
  <c r="B82" i="6" s="1"/>
  <c r="B97" i="6"/>
  <c r="C97" i="6" s="1"/>
  <c r="C82" i="6" s="1"/>
  <c r="H46" i="5"/>
  <c r="H47" i="5"/>
  <c r="F21" i="5"/>
  <c r="N58" i="5"/>
  <c r="K64" i="5" s="1"/>
  <c r="G48" i="5"/>
  <c r="I33" i="5" l="1"/>
  <c r="I34" i="5"/>
  <c r="L104" i="6"/>
  <c r="L106" i="6" s="1"/>
  <c r="B107" i="6" s="1"/>
  <c r="B109" i="6" s="1"/>
  <c r="L105" i="6"/>
  <c r="K31" i="5"/>
  <c r="J32" i="5"/>
  <c r="I46" i="5"/>
  <c r="I47" i="5"/>
  <c r="O58" i="5"/>
  <c r="L64" i="5" s="1"/>
  <c r="H48" i="5"/>
  <c r="K31" i="6"/>
  <c r="K42" i="6"/>
  <c r="K44" i="6" s="1"/>
  <c r="K43" i="6"/>
  <c r="G20" i="5"/>
  <c r="K44" i="5"/>
  <c r="J45" i="5"/>
  <c r="K18" i="5"/>
  <c r="J19" i="5"/>
  <c r="K117" i="6"/>
  <c r="K119" i="6" s="1"/>
  <c r="H35" i="5"/>
  <c r="O57" i="5"/>
  <c r="L63" i="5" s="1"/>
  <c r="L31" i="5" l="1"/>
  <c r="L32" i="5" s="1"/>
  <c r="K32" i="5"/>
  <c r="N56" i="5"/>
  <c r="K62" i="5" s="1"/>
  <c r="G22" i="5"/>
  <c r="G21" i="5"/>
  <c r="L42" i="6"/>
  <c r="L44" i="6" s="1"/>
  <c r="B45" i="6" s="1"/>
  <c r="B46" i="6" s="1"/>
  <c r="L30" i="6"/>
  <c r="L32" i="6" s="1"/>
  <c r="B33" i="6" s="1"/>
  <c r="B34" i="6" s="1"/>
  <c r="J46" i="5"/>
  <c r="J47" i="5"/>
  <c r="P58" i="5"/>
  <c r="M64" i="5" s="1"/>
  <c r="I48" i="5"/>
  <c r="K118" i="6"/>
  <c r="L18" i="5"/>
  <c r="L19" i="5" s="1"/>
  <c r="K19" i="5"/>
  <c r="B110" i="6"/>
  <c r="C110" i="6" s="1"/>
  <c r="C83" i="6" s="1"/>
  <c r="C109" i="6"/>
  <c r="B83" i="6" s="1"/>
  <c r="J34" i="5"/>
  <c r="J33" i="5"/>
  <c r="L44" i="5"/>
  <c r="L45" i="5" s="1"/>
  <c r="K45" i="5"/>
  <c r="P57" i="5"/>
  <c r="M63" i="5" s="1"/>
  <c r="I35" i="5"/>
  <c r="B22" i="6" l="1"/>
  <c r="B47" i="6"/>
  <c r="C22" i="6" s="1"/>
  <c r="H20" i="5"/>
  <c r="H21" i="5"/>
  <c r="Q57" i="5"/>
  <c r="N63" i="5" s="1"/>
  <c r="J35" i="5"/>
  <c r="L117" i="6"/>
  <c r="L119" i="6" s="1"/>
  <c r="B120" i="6" s="1"/>
  <c r="B122" i="6" s="1"/>
  <c r="L118" i="6"/>
  <c r="K46" i="5"/>
  <c r="K47" i="5"/>
  <c r="Q58" i="5"/>
  <c r="N64" i="5" s="1"/>
  <c r="J48" i="5"/>
  <c r="B35" i="6"/>
  <c r="C21" i="6" s="1"/>
  <c r="B21" i="6"/>
  <c r="L31" i="6"/>
  <c r="L43" i="6"/>
  <c r="K33" i="5"/>
  <c r="O56" i="5" l="1"/>
  <c r="L62" i="5" s="1"/>
  <c r="H22" i="5"/>
  <c r="R57" i="5"/>
  <c r="O63" i="5" s="1"/>
  <c r="K35" i="5"/>
  <c r="K34" i="5"/>
  <c r="L46" i="5"/>
  <c r="L47" i="5" s="1"/>
  <c r="K48" i="5"/>
  <c r="R58" i="5"/>
  <c r="O64" i="5" s="1"/>
  <c r="B123" i="6"/>
  <c r="C123" i="6" s="1"/>
  <c r="C84" i="6" s="1"/>
  <c r="C122" i="6"/>
  <c r="B84" i="6" s="1"/>
  <c r="I20" i="5"/>
  <c r="P56" i="5" l="1"/>
  <c r="M62" i="5" s="1"/>
  <c r="I22" i="5"/>
  <c r="I21" i="5"/>
  <c r="L48" i="5"/>
  <c r="B49" i="5" s="1"/>
  <c r="B51" i="5" s="1"/>
  <c r="S58" i="5"/>
  <c r="P64" i="5" s="1"/>
  <c r="L33" i="5"/>
  <c r="S57" i="5" l="1"/>
  <c r="P63" i="5" s="1"/>
  <c r="L35" i="5"/>
  <c r="B36" i="5" s="1"/>
  <c r="B38" i="5" s="1"/>
  <c r="C51" i="5"/>
  <c r="B13" i="5" s="1"/>
  <c r="E13" i="5" s="1"/>
  <c r="G30" i="3" s="1"/>
  <c r="B52" i="5"/>
  <c r="C52" i="5" s="1"/>
  <c r="C13" i="5" s="1"/>
  <c r="F30" i="3" s="1"/>
  <c r="L34" i="5"/>
  <c r="J20" i="5"/>
  <c r="J21" i="5" s="1"/>
  <c r="K20" i="5" l="1"/>
  <c r="Q56" i="5"/>
  <c r="N62" i="5" s="1"/>
  <c r="J22" i="5"/>
  <c r="C38" i="5"/>
  <c r="B12" i="5" s="1"/>
  <c r="E12" i="5" s="1"/>
  <c r="G29" i="3" s="1"/>
  <c r="B39" i="5"/>
  <c r="C39" i="5" s="1"/>
  <c r="C12" i="5" s="1"/>
  <c r="F29" i="3" s="1"/>
  <c r="R56" i="5" l="1"/>
  <c r="O62" i="5" s="1"/>
  <c r="K22" i="5"/>
  <c r="K21" i="5"/>
  <c r="L20" i="5" l="1"/>
  <c r="L21" i="5" s="1"/>
  <c r="S56" i="5" l="1"/>
  <c r="P62" i="5" s="1"/>
  <c r="L22" i="5"/>
  <c r="B23" i="5" s="1"/>
  <c r="B25" i="5" s="1"/>
  <c r="C25" i="5" l="1"/>
  <c r="B11" i="5" s="1"/>
  <c r="E11" i="5" s="1"/>
  <c r="G28" i="3" s="1"/>
  <c r="B26" i="5"/>
  <c r="C26" i="5" s="1"/>
  <c r="C11" i="5" s="1"/>
  <c r="F28" i="3" s="1"/>
  <c r="F31" i="3" s="1"/>
  <c r="C28" i="3" l="1"/>
  <c r="D28" i="3" s="1"/>
  <c r="G31" i="3"/>
  <c r="C30" i="3"/>
  <c r="C29" i="3"/>
</calcChain>
</file>

<file path=xl/sharedStrings.xml><?xml version="1.0" encoding="utf-8"?>
<sst xmlns="http://schemas.openxmlformats.org/spreadsheetml/2006/main" count="1060" uniqueCount="435">
  <si>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</si>
  <si>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</si>
  <si>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</si>
  <si>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</si>
  <si>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</si>
  <si>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</si>
  <si>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</si>
  <si>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</si>
  <si>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</si>
  <si>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</si>
  <si>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</si>
  <si>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</si>
  <si>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</si>
  <si>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</si>
  <si>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</si>
  <si>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</si>
  <si>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</si>
  <si>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</si>
  <si>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</si>
  <si>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</si>
  <si>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</si>
  <si>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</si>
  <si>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</si>
  <si>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</si>
  <si>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</si>
  <si>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</si>
  <si>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</si>
  <si>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</si>
  <si>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</si>
  <si>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</si>
  <si>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</si>
  <si>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</si>
  <si>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</si>
  <si>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</si>
  <si>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</si>
  <si>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</si>
  <si>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</si>
  <si>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</si>
  <si>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</si>
  <si>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</si>
  <si>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</si>
  <si>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</si>
  <si>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</si>
  <si>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</si>
  <si>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</si>
  <si>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</si>
  <si>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</si>
  <si>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</si>
  <si>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</si>
  <si>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</si>
  <si>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</si>
  <si>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</si>
  <si>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</si>
  <si>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</si>
  <si>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</si>
  <si>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</si>
  <si>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</si>
  <si>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</si>
  <si>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</si>
  <si>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</si>
  <si>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</si>
  <si>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DSR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</si>
  <si>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</si>
  <si>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</si>
  <si>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</si>
  <si>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</si>
  <si>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</si>
  <si>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</si>
  <si>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</si>
  <si>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</si>
  <si>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</si>
  <si>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</si>
  <si>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</si>
  <si>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</si>
  <si>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</si>
  <si>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</si>
  <si>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</si>
  <si>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</si>
  <si>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</si>
  <si>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</si>
  <si>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</si>
  <si>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</si>
  <si>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</si>
  <si>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</si>
  <si>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</si>
  <si>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</si>
  <si>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</si>
  <si>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</si>
  <si>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</si>
  <si>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</si>
  <si>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</si>
  <si>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</si>
  <si>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</si>
  <si>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</si>
  <si>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</si>
  <si>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</si>
  <si>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</si>
  <si>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</si>
  <si>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</si>
  <si>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</si>
  <si>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</si>
  <si>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</si>
  <si>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</si>
  <si>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</si>
  <si>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</si>
  <si>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</si>
  <si>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4,180/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</si>
  <si>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</si>
  <si>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</si>
  <si>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</si>
  <si>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</si>
  <si>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</si>
  <si>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</si>
  <si>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</si>
  <si>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</si>
  <si>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</si>
  <si>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</si>
  <si>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</si>
  <si>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</si>
  <si>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</si>
  <si>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</si>
  <si>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</si>
  <si>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</si>
  <si>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</si>
  <si>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16,000,000/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</si>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</sst>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9EF-405C-8CF5-452F626A6F0B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9EF-405C-8CF5-452F626A6F0B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9EF-405C-8CF5-452F626A6F0B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9EF-405C-8CF5-452F626A6F0B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9EF-405C-8CF5-452F626A6F0B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44196</c:v>
                </c:pt>
                <c:pt idx="1">
                  <c:v>44561</c:v>
                </c:pt>
                <c:pt idx="2">
                  <c:v>44926</c:v>
                </c:pt>
                <c:pt idx="3">
                  <c:v>45291</c:v>
                </c:pt>
                <c:pt idx="4">
                  <c:v>45657</c:v>
                </c:pt>
                <c:pt idx="5">
                  <c:v>46022</c:v>
                </c:pt>
                <c:pt idx="6">
                  <c:v>46387</c:v>
                </c:pt>
                <c:pt idx="7">
                  <c:v>46752</c:v>
                </c:pt>
                <c:pt idx="8">
                  <c:v>47117</c:v>
                </c:pt>
                <c:pt idx="9">
                  <c:v>47482</c:v>
                </c:pt>
                <c:pt idx="10">
                  <c:v>47847</c:v>
                </c:pt>
                <c:pt idx="11">
                  <c:v>48212</c:v>
                </c:pt>
                <c:pt idx="12">
                  <c:v>48577</c:v>
                </c:pt>
                <c:pt idx="13">
                  <c:v>48942</c:v>
                </c:pt>
                <c:pt idx="14">
                  <c:v>49307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89</c:v>
                </c:pt>
                <c:pt idx="1">
                  <c:v>123</c:v>
                </c:pt>
                <c:pt idx="2">
                  <c:v>240</c:v>
                </c:pt>
                <c:pt idx="3">
                  <c:v>175</c:v>
                </c:pt>
                <c:pt idx="4">
                  <c:v>145</c:v>
                </c:pt>
                <c:pt idx="5">
                  <c:v>196.43414999999999</c:v>
                </c:pt>
                <c:pt idx="6">
                  <c:v>212.53192859249998</c:v>
                </c:pt>
                <c:pt idx="7">
                  <c:v>229.94892014065533</c:v>
                </c:pt>
                <c:pt idx="8">
                  <c:v>248.79323414618204</c:v>
                </c:pt>
                <c:pt idx="9">
                  <c:v>269.18183968446169</c:v>
                </c:pt>
                <c:pt idx="10">
                  <c:v>291.24129144660327</c:v>
                </c:pt>
                <c:pt idx="11">
                  <c:v>315.1085152806524</c:v>
                </c:pt>
                <c:pt idx="12">
                  <c:v>340.93165810790191</c:v>
                </c:pt>
                <c:pt idx="13">
                  <c:v>368.87100748984443</c:v>
                </c:pt>
                <c:pt idx="14">
                  <c:v>399.09998655363722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9EF-405C-8CF5-452F626A6F0B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E9EF-405C-8CF5-452F626A6F0B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E9EF-405C-8CF5-452F626A6F0B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E9EF-405C-8CF5-452F626A6F0B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E9EF-405C-8CF5-452F626A6F0B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E9EF-405C-8CF5-452F626A6F0B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9EF-405C-8CF5-452F626A6F0B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44196</c:v>
                </c:pt>
                <c:pt idx="1">
                  <c:v>44561</c:v>
                </c:pt>
                <c:pt idx="2">
                  <c:v>44926</c:v>
                </c:pt>
                <c:pt idx="3">
                  <c:v>45291</c:v>
                </c:pt>
                <c:pt idx="4">
                  <c:v>45657</c:v>
                </c:pt>
                <c:pt idx="5">
                  <c:v>46022</c:v>
                </c:pt>
                <c:pt idx="6">
                  <c:v>46387</c:v>
                </c:pt>
                <c:pt idx="7">
                  <c:v>46752</c:v>
                </c:pt>
                <c:pt idx="8">
                  <c:v>47117</c:v>
                </c:pt>
                <c:pt idx="9">
                  <c:v>47482</c:v>
                </c:pt>
                <c:pt idx="10">
                  <c:v>47847</c:v>
                </c:pt>
                <c:pt idx="11">
                  <c:v>48212</c:v>
                </c:pt>
                <c:pt idx="12">
                  <c:v>48577</c:v>
                </c:pt>
                <c:pt idx="13">
                  <c:v>48942</c:v>
                </c:pt>
                <c:pt idx="14">
                  <c:v>49307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89</c:v>
                </c:pt>
                <c:pt idx="1">
                  <c:v>123</c:v>
                </c:pt>
                <c:pt idx="2">
                  <c:v>240</c:v>
                </c:pt>
                <c:pt idx="3">
                  <c:v>175</c:v>
                </c:pt>
                <c:pt idx="4">
                  <c:v>145</c:v>
                </c:pt>
                <c:pt idx="5">
                  <c:v>201.38395499999999</c:v>
                </c:pt>
                <c:pt idx="6">
                  <c:v>223.13232455969245</c:v>
                </c:pt>
                <c:pt idx="7">
                  <c:v>247.01288743777471</c:v>
                </c:pt>
                <c:pt idx="8">
                  <c:v>273.25723251339571</c:v>
                </c:pt>
                <c:pt idx="9">
                  <c:v>302.11881612569039</c:v>
                </c:pt>
                <c:pt idx="10">
                  <c:v>333.8755240796412</c:v>
                </c:pt>
                <c:pt idx="11">
                  <c:v>368.83243583331637</c:v>
                </c:pt>
                <c:pt idx="12">
                  <c:v>407.32482448851079</c:v>
                </c:pt>
                <c:pt idx="13">
                  <c:v>449.72142667086996</c:v>
                </c:pt>
                <c:pt idx="14">
                  <c:v>496.42801764238618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9EF-405C-8CF5-452F626A6F0B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E9EF-405C-8CF5-452F626A6F0B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E9EF-405C-8CF5-452F626A6F0B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E9EF-405C-8CF5-452F626A6F0B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E9EF-405C-8CF5-452F626A6F0B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E9EF-405C-8CF5-452F626A6F0B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9EF-405C-8CF5-452F626A6F0B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44196</c:v>
                </c:pt>
                <c:pt idx="1">
                  <c:v>44561</c:v>
                </c:pt>
                <c:pt idx="2">
                  <c:v>44926</c:v>
                </c:pt>
                <c:pt idx="3">
                  <c:v>45291</c:v>
                </c:pt>
                <c:pt idx="4">
                  <c:v>45657</c:v>
                </c:pt>
                <c:pt idx="5">
                  <c:v>46022</c:v>
                </c:pt>
                <c:pt idx="6">
                  <c:v>46387</c:v>
                </c:pt>
                <c:pt idx="7">
                  <c:v>46752</c:v>
                </c:pt>
                <c:pt idx="8">
                  <c:v>47117</c:v>
                </c:pt>
                <c:pt idx="9">
                  <c:v>47482</c:v>
                </c:pt>
                <c:pt idx="10">
                  <c:v>47847</c:v>
                </c:pt>
                <c:pt idx="11">
                  <c:v>48212</c:v>
                </c:pt>
                <c:pt idx="12">
                  <c:v>48577</c:v>
                </c:pt>
                <c:pt idx="13">
                  <c:v>48942</c:v>
                </c:pt>
                <c:pt idx="14">
                  <c:v>49307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89</c:v>
                </c:pt>
                <c:pt idx="1">
                  <c:v>123</c:v>
                </c:pt>
                <c:pt idx="2">
                  <c:v>240</c:v>
                </c:pt>
                <c:pt idx="3">
                  <c:v>175</c:v>
                </c:pt>
                <c:pt idx="4">
                  <c:v>145</c:v>
                </c:pt>
                <c:pt idx="5">
                  <c:v>206.33375999999998</c:v>
                </c:pt>
                <c:pt idx="6">
                  <c:v>232.69638480383998</c:v>
                </c:pt>
                <c:pt idx="7">
                  <c:v>260.99191334189192</c:v>
                </c:pt>
                <c:pt idx="8">
                  <c:v>291.55910731266152</c:v>
                </c:pt>
                <c:pt idx="9">
                  <c:v>324.73928137048972</c:v>
                </c:pt>
                <c:pt idx="10">
                  <c:v>360.88545830148439</c:v>
                </c:pt>
                <c:pt idx="11">
                  <c:v>400.36969285261068</c:v>
                </c:pt>
                <c:pt idx="12">
                  <c:v>443.58931110136365</c:v>
                </c:pt>
                <c:pt idx="13">
                  <c:v>490.9725530735036</c:v>
                </c:pt>
                <c:pt idx="14">
                  <c:v>542.98394825450919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9EF-405C-8CF5-452F626A6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4.2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29.1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0.26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1.83E-2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0.18892999999999999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0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4.2</v>
      </c>
      <c r="C282">
        <v>29.1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5.21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6.51</v>
      </c>
      <c r="C290">
        <v>1.91</v>
      </c>
      <c r="D290">
        <v>7.47</v>
      </c>
    </row>
    <row r="291" spans="1:4" x14ac:dyDescent="0.4">
      <c r="A291" t="s">
        <v>85</v>
      </c>
      <c r="B291">
        <v>1.83</v>
      </c>
      <c r="C291">
        <v>2.58</v>
      </c>
      <c r="D291">
        <v>2.2799999999999998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3.64</v>
      </c>
      <c r="C443">
        <v>4.51</v>
      </c>
      <c r="D443">
        <v>7.36</v>
      </c>
      <c r="E443">
        <v>4.96</v>
      </c>
      <c r="F443">
        <v>4.1100000000000003</v>
      </c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45717</v>
      </c>
      <c r="C478" s="197">
        <v>45809</v>
      </c>
      <c r="D478" s="197">
        <v>45901</v>
      </c>
      <c r="E478" s="197">
        <v>45992</v>
      </c>
      <c r="F478" s="197">
        <v>45992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>
        <v>741</v>
      </c>
      <c r="C482" s="194">
        <v>767</v>
      </c>
      <c r="D482" s="194">
        <v>747</v>
      </c>
      <c r="E482" s="194">
        <v>747</v>
      </c>
      <c r="F482" s="194">
        <v>747</v>
      </c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>
        <v>57</v>
      </c>
      <c r="C483" s="194">
        <v>30</v>
      </c>
      <c r="D483" s="194">
        <v>55</v>
      </c>
      <c r="E483" s="194">
        <v>55</v>
      </c>
      <c r="F483" s="194">
        <v>55</v>
      </c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>
        <v>57</v>
      </c>
      <c r="C484" s="194">
        <v>30</v>
      </c>
      <c r="D484" s="194">
        <v>55</v>
      </c>
      <c r="E484" s="194">
        <v>55</v>
      </c>
      <c r="F484" s="194">
        <v>55</v>
      </c>
      <c r="G484" s="194"/>
      <c r="H484" s="194"/>
      <c r="I484" s="194"/>
    </row>
    <row r="485" spans="1:9" x14ac:dyDescent="0.4">
      <c r="A485" t="s">
        <v>277</v>
      </c>
      <c r="B485" s="194">
        <v>42</v>
      </c>
      <c r="C485" s="194">
        <v>-1</v>
      </c>
      <c r="D485" s="194">
        <v>73</v>
      </c>
      <c r="E485" s="194">
        <v>73</v>
      </c>
      <c r="F485" s="194">
        <v>73</v>
      </c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>
        <v>43</v>
      </c>
      <c r="C486" s="194">
        <v>0</v>
      </c>
      <c r="D486" s="194">
        <v>73</v>
      </c>
      <c r="E486" s="194">
        <v>73</v>
      </c>
      <c r="F486" s="194">
        <v>73</v>
      </c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>
        <v>-1</v>
      </c>
      <c r="C487" s="194">
        <v>-1</v>
      </c>
      <c r="D487" s="194">
        <v>0</v>
      </c>
      <c r="E487" s="194">
        <v>0</v>
      </c>
      <c r="F487" s="194">
        <v>0</v>
      </c>
    </row>
    <row r="488" spans="1:9" x14ac:dyDescent="0.4">
      <c r="A488" t="s">
        <v>280</v>
      </c>
      <c r="B488" s="194">
        <v>3557</v>
      </c>
      <c r="C488" s="194">
        <v>3595</v>
      </c>
      <c r="D488" s="194">
        <v>3640</v>
      </c>
      <c r="E488" s="194">
        <v>3640</v>
      </c>
      <c r="F488" s="194">
        <v>3640</v>
      </c>
    </row>
    <row r="489" spans="1:9" x14ac:dyDescent="0.4">
      <c r="A489" t="s">
        <v>281</v>
      </c>
      <c r="B489" s="194">
        <v>1181</v>
      </c>
      <c r="C489" s="194">
        <v>1246</v>
      </c>
      <c r="D489" s="194">
        <v>1217</v>
      </c>
      <c r="E489" s="194">
        <v>1217</v>
      </c>
      <c r="F489" s="194">
        <v>1217</v>
      </c>
    </row>
    <row r="490" spans="1:9" x14ac:dyDescent="0.4">
      <c r="A490" t="s">
        <v>282</v>
      </c>
      <c r="B490" s="194">
        <v>2377</v>
      </c>
      <c r="C490" s="194">
        <v>2349</v>
      </c>
      <c r="D490" s="194">
        <v>2423</v>
      </c>
      <c r="E490" s="194">
        <v>2423</v>
      </c>
      <c r="F490" s="194">
        <v>2423</v>
      </c>
    </row>
    <row r="491" spans="1:9" x14ac:dyDescent="0.4">
      <c r="A491" t="s">
        <v>283</v>
      </c>
      <c r="B491" s="194">
        <v>2348</v>
      </c>
      <c r="C491" s="194">
        <v>2324</v>
      </c>
      <c r="D491" s="194">
        <v>2397</v>
      </c>
      <c r="E491" s="194">
        <v>2397</v>
      </c>
      <c r="F491" s="194">
        <v>2397</v>
      </c>
    </row>
    <row r="492" spans="1:9" x14ac:dyDescent="0.4">
      <c r="A492" t="s">
        <v>284</v>
      </c>
      <c r="B492" s="194">
        <v>29</v>
      </c>
      <c r="C492" s="194">
        <v>26</v>
      </c>
      <c r="D492" s="194">
        <v>26</v>
      </c>
      <c r="E492" s="194">
        <v>26</v>
      </c>
      <c r="F492" s="194">
        <v>26</v>
      </c>
    </row>
    <row r="493" spans="1:9" x14ac:dyDescent="0.4">
      <c r="A493" t="s">
        <v>285</v>
      </c>
      <c r="B493" s="194">
        <v>80</v>
      </c>
      <c r="C493" s="194">
        <v>80</v>
      </c>
      <c r="D493" s="196">
        <v>80</v>
      </c>
      <c r="E493" s="196">
        <v>80</v>
      </c>
      <c r="F493" s="196">
        <v>80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>
        <v>4.67</v>
      </c>
      <c r="C510">
        <v>-0.14000000000000001</v>
      </c>
      <c r="D510">
        <v>8.06</v>
      </c>
      <c r="E510">
        <v>8.06</v>
      </c>
      <c r="F510">
        <v>8.06</v>
      </c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DSR</v>
      </c>
      <c r="D4" s="82" t="s">
        <v>340</v>
      </c>
      <c r="E4" s="83">
        <f ca="1">Data!B7</f>
        <v>16000000</v>
      </c>
      <c r="F4" s="84"/>
      <c r="G4" s="84"/>
      <c r="H4" s="85"/>
    </row>
    <row r="5" spans="2:34" x14ac:dyDescent="0.4">
      <c r="B5" s="86" t="s">
        <v>341</v>
      </c>
      <c r="C5" s="87">
        <f ca="1">Data!B5</f>
        <v>4180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0.18892999999999999</v>
      </c>
      <c r="D6" s="88" t="s">
        <v>344</v>
      </c>
      <c r="E6" s="89">
        <f ca="1">Data!B8</f>
        <v>0</v>
      </c>
      <c r="H6" s="90"/>
      <c r="AD6" s="32" t="s">
        <v>345</v>
      </c>
      <c r="AE6" s="32" t="s">
        <v>346</v>
      </c>
      <c r="AF6" s="3">
        <f ca="1">G24</f>
        <v>8.1949999999999995E-2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8.1949999999999995E-2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9.2307692307692313E-2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351</v>
      </c>
      <c r="D20" s="106">
        <f ca="1">VLOOKUP(C20,AE6:AF10,2,FALSE)</f>
        <v>8.1949999999999995E-2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44166</v>
      </c>
      <c r="D21" s="109">
        <f>Data!C25</f>
        <v>44531</v>
      </c>
      <c r="E21" s="110">
        <f>Data!D25</f>
        <v>44896</v>
      </c>
      <c r="F21" s="111">
        <f>Data!E25</f>
        <v>45261</v>
      </c>
      <c r="G21" s="111">
        <f>Data!F25</f>
        <v>45627</v>
      </c>
      <c r="H21" s="112" t="str">
        <f ca="1">"최근 4분기("&amp;TEXT(Data!F50,"yy/mm")&amp;")"</f>
        <v>최근 4분기(25/12)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12</v>
      </c>
      <c r="K21" s="115">
        <f>MONTH(G21)</f>
        <v>12</v>
      </c>
      <c r="L21" s="116">
        <f ca="1">MOD(J21+12-K21,12)/6</f>
        <v>0</v>
      </c>
      <c r="M21" s="116">
        <f ca="1">L21+4</f>
        <v>4</v>
      </c>
      <c r="N21" s="117">
        <f ca="1">MOD(J21+12-K21,12)</f>
        <v>0</v>
      </c>
    </row>
    <row r="22" spans="2:14" ht="16.5" customHeight="1" thickBot="1" x14ac:dyDescent="0.45">
      <c r="B22" s="118" t="s">
        <v>249</v>
      </c>
      <c r="C22" s="119">
        <f>Data!B40</f>
        <v>5.67E-2</v>
      </c>
      <c r="D22" s="120">
        <f>Data!C40</f>
        <v>7.2900000000000006E-2</v>
      </c>
      <c r="E22" s="121">
        <f>Data!D40</f>
        <v>0.128</v>
      </c>
      <c r="F22" s="122">
        <f>Data!E40</f>
        <v>8.4199999999999997E-2</v>
      </c>
      <c r="G22" s="122">
        <f>Data!F40</f>
        <v>6.5099999999999991E-2</v>
      </c>
      <c r="H22" s="123">
        <f ca="1">Data!K78</f>
        <v>9.2307692307692313E-2</v>
      </c>
      <c r="I22" s="113" t="str">
        <f ca="1">IF(H22="분기자료부족",IF(F22&lt;E22,IF(G22&lt;F22,"하락추세",""),""),IF(F22&lt;E22,IF(H22&lt;F22,"하락추세",""),""))</f>
        <v/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46022</v>
      </c>
      <c r="D23" s="111">
        <f>DATE(Data!H26,12,31)</f>
        <v>46387</v>
      </c>
      <c r="E23" s="125">
        <f>DATE(Data!I26,12,31)</f>
        <v>46752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 t="str">
        <f>IF(Data!G40="","컨센 없음",Data!G40)</f>
        <v>컨센 없음</v>
      </c>
      <c r="D24" s="122" t="str">
        <f>IF(Data!H40="","컨센 없음",Data!H40)</f>
        <v>컨센 없음</v>
      </c>
      <c r="E24" s="123" t="str">
        <f>IF(Data!I40="","컨센 없음",Data!I40)</f>
        <v>컨센 없음</v>
      </c>
      <c r="F24" s="131">
        <f ca="1">IF(H22="분기자료부족",(G22*3+F22*2+E22)/6,IF(N21=0,(G22*3+F22*2+E22)/6,(H22*3+G22*L21+F22)/M21))</f>
        <v>8.1949999999999995E-2</v>
      </c>
      <c r="G24" s="122">
        <f ca="1">IF(E24="컨센 없음",IF(D24="컨센 없음",IF(C24="컨센 없음",IF(H22="분기자료부족",J22,IF(I21="상승추세",H22,IF(I22="하락추세",H22,F24))),C24),D24),E24)</f>
        <v>8.1949999999999995E-2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4180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13964.936014824334</v>
      </c>
      <c r="D28" s="143">
        <f ca="1">C27/C28-1</f>
        <v>-0.70067890067217187</v>
      </c>
      <c r="E28" s="144" t="s">
        <v>368</v>
      </c>
      <c r="F28" s="145">
        <f ca="1">RIM계산!C11</f>
        <v>13964.936014824334</v>
      </c>
      <c r="G28" s="146">
        <f ca="1">RIM계산!E11</f>
        <v>15.409584568082025</v>
      </c>
    </row>
    <row r="29" spans="2:14" x14ac:dyDescent="0.4">
      <c r="B29" s="147" t="s">
        <v>369</v>
      </c>
      <c r="C29" s="148">
        <f ca="1">IF(C26="초과이익 가정",IF(F31="정배열",F28,F30),C28*(1+D26))</f>
        <v>15775.05147239203</v>
      </c>
      <c r="E29" s="149" t="s">
        <v>370</v>
      </c>
      <c r="F29" s="150">
        <f ca="1">RIM계산!C12</f>
        <v>15107.079750503186</v>
      </c>
      <c r="G29" s="151">
        <f ca="1">RIM계산!E12</f>
        <v>16.669881104003515</v>
      </c>
    </row>
    <row r="30" spans="2:14" x14ac:dyDescent="0.4">
      <c r="B30" s="152" t="s">
        <v>371</v>
      </c>
      <c r="C30" s="153">
        <f ca="1">IF(C26="초과이익 가정",IF(F31="정배열",F30,F28),C28*(1-D26))</f>
        <v>13964.936014824334</v>
      </c>
      <c r="E30" s="149" t="s">
        <v>372</v>
      </c>
      <c r="F30" s="154">
        <f ca="1">RIM계산!C13</f>
        <v>15775.05147239203</v>
      </c>
      <c r="G30" s="155">
        <f ca="1">RIM계산!E13</f>
        <v>17.406953348846379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44166</v>
      </c>
      <c r="D33" s="108">
        <f>D21</f>
        <v>44531</v>
      </c>
      <c r="E33" s="108">
        <f>E21</f>
        <v>44896</v>
      </c>
      <c r="F33" s="108">
        <f>F21</f>
        <v>45261</v>
      </c>
      <c r="G33" s="108">
        <f>G21</f>
        <v>45627</v>
      </c>
      <c r="H33" s="161" t="s">
        <v>374</v>
      </c>
    </row>
    <row r="34" spans="2:8" x14ac:dyDescent="0.4">
      <c r="B34" s="118" t="s">
        <v>375</v>
      </c>
      <c r="C34" s="162">
        <f>Data!B43</f>
        <v>50</v>
      </c>
      <c r="D34" s="162">
        <f>Data!C43</f>
        <v>50</v>
      </c>
      <c r="E34" s="162">
        <f>Data!D43</f>
        <v>60</v>
      </c>
      <c r="F34" s="162">
        <f>Data!E43</f>
        <v>60</v>
      </c>
      <c r="G34" s="162">
        <f>Data!F43</f>
        <v>70</v>
      </c>
      <c r="H34" s="163">
        <f>Data!G43</f>
        <v>0</v>
      </c>
    </row>
    <row r="35" spans="2:8" x14ac:dyDescent="0.4">
      <c r="B35" s="164" t="s">
        <v>85</v>
      </c>
      <c r="C35" s="165">
        <f>Data!B44</f>
        <v>8.0000000000000002E-3</v>
      </c>
      <c r="D35" s="165">
        <f>Data!C44</f>
        <v>8.6999999999999994E-3</v>
      </c>
      <c r="E35" s="165">
        <f>Data!D44</f>
        <v>1.0800000000000001E-2</v>
      </c>
      <c r="F35" s="165">
        <f>Data!E44</f>
        <v>1.3899999999999999E-2</v>
      </c>
      <c r="G35" s="165">
        <f>Data!F44</f>
        <v>1.83E-2</v>
      </c>
      <c r="H35" s="77">
        <f ca="1">H34/C27</f>
        <v>0</v>
      </c>
    </row>
    <row r="36" spans="2:8" x14ac:dyDescent="0.4">
      <c r="B36" s="118" t="str">
        <f ca="1">Data!A39</f>
        <v>ROA(%)</v>
      </c>
      <c r="C36" s="6">
        <f ca="1">Data!B39</f>
        <v>3.6400000000000002E-2</v>
      </c>
      <c r="D36" s="6">
        <f ca="1">Data!C39</f>
        <v>4.5100000000000001E-2</v>
      </c>
      <c r="E36" s="6">
        <f ca="1">Data!D39</f>
        <v>7.3599999999999999E-2</v>
      </c>
      <c r="F36" s="6">
        <f ca="1">Data!E39</f>
        <v>4.9599999999999998E-2</v>
      </c>
      <c r="G36" s="6">
        <f ca="1">Data!F39</f>
        <v>4.1100000000000005E-2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558</v>
      </c>
      <c r="D37" s="71">
        <f>Data!C41</f>
        <v>768</v>
      </c>
      <c r="E37" s="71">
        <f>Data!D41</f>
        <v>1502</v>
      </c>
      <c r="F37" s="71">
        <f>Data!E41</f>
        <v>1093</v>
      </c>
      <c r="G37" s="71">
        <f>Data!F41</f>
        <v>909</v>
      </c>
      <c r="H37" s="167">
        <f>Data!G41</f>
        <v>0</v>
      </c>
    </row>
    <row r="38" spans="2:8" x14ac:dyDescent="0.4">
      <c r="B38" s="118" t="str">
        <f ca="1">Data!A42</f>
        <v>BPS(원)</v>
      </c>
      <c r="C38" s="71">
        <f>Data!B42</f>
        <v>10087</v>
      </c>
      <c r="D38" s="71">
        <f>Data!C42</f>
        <v>10991</v>
      </c>
      <c r="E38" s="71">
        <f>Data!D42</f>
        <v>12480</v>
      </c>
      <c r="F38" s="71">
        <f>Data!E42</f>
        <v>13467</v>
      </c>
      <c r="G38" s="71">
        <f>Data!F42</f>
        <v>14456</v>
      </c>
      <c r="H38" s="167">
        <f>Data!G42</f>
        <v>0</v>
      </c>
    </row>
    <row r="39" spans="2:8" ht="16.5" customHeight="1" thickBot="1" x14ac:dyDescent="0.45">
      <c r="B39" s="168" t="s">
        <v>376</v>
      </c>
      <c r="C39" s="169">
        <f t="shared" ref="C39:H39" si="0">C34/C38</f>
        <v>4.9568751858828199E-3</v>
      </c>
      <c r="D39" s="169">
        <f t="shared" si="0"/>
        <v>4.5491765990355749E-3</v>
      </c>
      <c r="E39" s="169">
        <f t="shared" si="0"/>
        <v>4.807692307692308E-3</v>
      </c>
      <c r="F39" s="169">
        <f t="shared" si="0"/>
        <v>4.4553352639786145E-3</v>
      </c>
      <c r="G39" s="169">
        <f t="shared" si="0"/>
        <v>4.8422800221361376E-3</v>
      </c>
      <c r="H39" s="170" t="e">
        <f t="shared" si="0"/>
        <v>#DIV/0!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DSR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6.5099999999999991E-2</v>
      </c>
      <c r="D42" s="6">
        <f>Data!C85</f>
        <v>1.9099999999999999E-2</v>
      </c>
      <c r="E42" s="166">
        <f>Data!D85</f>
        <v>7.4700000000000003E-2</v>
      </c>
    </row>
    <row r="43" spans="2:8" x14ac:dyDescent="0.4">
      <c r="B43" s="185" t="s">
        <v>74</v>
      </c>
      <c r="C43" s="183">
        <f>Data!B86</f>
        <v>4.2</v>
      </c>
      <c r="D43" s="183">
        <f>Data!C86</f>
        <v>29.1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1.83E-2</v>
      </c>
      <c r="D44" s="188">
        <f>Data!C87</f>
        <v>2.58E-2</v>
      </c>
      <c r="E44" s="189">
        <f>Data!D87</f>
        <v>2.2800000000000001E-2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DSR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4180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4,180/ </v>
      </c>
    </row>
    <row r="6" spans="1:9" x14ac:dyDescent="0.4">
      <c r="A6" s="15" t="s">
        <v>114</v>
      </c>
      <c r="B6" s="15">
        <f ca="1">I6</f>
        <v>0.18892999999999999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0.18892999999999999</v>
      </c>
    </row>
    <row r="7" spans="1:9" x14ac:dyDescent="0.4">
      <c r="A7" s="15" t="s">
        <v>123</v>
      </c>
      <c r="B7" s="66">
        <f ca="1">LEFT(I7,SEARCHB("/",I7)-1)*1</f>
        <v>16000000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16,000,000/ 0</v>
      </c>
    </row>
    <row r="8" spans="1:9" x14ac:dyDescent="0.4">
      <c r="A8" s="15" t="s">
        <v>177</v>
      </c>
      <c r="B8" s="66">
        <f ca="1">I8</f>
        <v>0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0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4.2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4.2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29.1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29.1</v>
      </c>
    </row>
    <row r="19" spans="1:9" x14ac:dyDescent="0.4">
      <c r="A19" s="9" t="s">
        <v>247</v>
      </c>
      <c r="B19" s="9">
        <f t="shared" ca="1" si="0"/>
        <v>5.21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5.21</v>
      </c>
    </row>
    <row r="20" spans="1:9" x14ac:dyDescent="0.4">
      <c r="A20" s="9" t="s">
        <v>84</v>
      </c>
      <c r="B20" s="9">
        <f t="shared" ca="1" si="0"/>
        <v>0.26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0.26</v>
      </c>
    </row>
    <row r="21" spans="1:9" x14ac:dyDescent="0.4">
      <c r="A21" s="9" t="s">
        <v>85</v>
      </c>
      <c r="B21" s="69">
        <f t="shared" ca="1" si="0"/>
        <v>1.83E-2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1.83E-2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44166</v>
      </c>
      <c r="C25" s="70">
        <v>44531</v>
      </c>
      <c r="D25" s="70">
        <v>44896</v>
      </c>
      <c r="E25" s="70">
        <v>45261</v>
      </c>
      <c r="F25" s="70">
        <v>45627</v>
      </c>
      <c r="G25" s="202">
        <v>45992</v>
      </c>
      <c r="H25" s="202">
        <v>46357</v>
      </c>
      <c r="I25" s="202">
        <v>46722</v>
      </c>
    </row>
    <row r="26" spans="1:9" x14ac:dyDescent="0.4">
      <c r="A26" s="1" t="s">
        <v>269</v>
      </c>
      <c r="B26" s="9">
        <v>2020</v>
      </c>
      <c r="C26" s="9">
        <v>2021</v>
      </c>
      <c r="D26" s="9">
        <v>2022</v>
      </c>
      <c r="E26" s="9">
        <v>2023</v>
      </c>
      <c r="F26" s="9">
        <v>2024</v>
      </c>
      <c r="G26" s="15">
        <v>2025</v>
      </c>
      <c r="H26" s="15">
        <v>2026</v>
      </c>
      <c r="I26" s="15">
        <v>2027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2310</v>
      </c>
      <c r="C27" s="71">
        <v>2724</v>
      </c>
      <c r="D27" s="71">
        <v>3675</v>
      </c>
      <c r="E27" s="71">
        <v>2911</v>
      </c>
      <c r="F27" s="71">
        <v>2998</v>
      </c>
      <c r="G27" s="71"/>
      <c r="H27" s="71"/>
      <c r="I27" s="71"/>
    </row>
    <row r="28" spans="1:9" x14ac:dyDescent="0.4">
      <c r="A28" s="72" t="str">
        <f t="shared" ca="1" si="2"/>
        <v>영업이익</v>
      </c>
      <c r="B28" s="71">
        <v>121</v>
      </c>
      <c r="C28" s="71">
        <v>135</v>
      </c>
      <c r="D28" s="71">
        <v>358</v>
      </c>
      <c r="E28" s="71">
        <v>243</v>
      </c>
      <c r="F28" s="71">
        <v>153</v>
      </c>
      <c r="G28" s="71"/>
      <c r="H28" s="71"/>
      <c r="I28" s="71"/>
    </row>
    <row r="29" spans="1:9" x14ac:dyDescent="0.4">
      <c r="A29" s="72" t="str">
        <f t="shared" ca="1" si="2"/>
        <v>영업이익(발표기준)</v>
      </c>
      <c r="B29" s="71">
        <v>121</v>
      </c>
      <c r="C29" s="71">
        <v>135</v>
      </c>
      <c r="D29" s="71">
        <v>358</v>
      </c>
      <c r="E29" s="71">
        <v>243</v>
      </c>
      <c r="F29" s="71">
        <v>153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ca="1">IF(OFFSET(INDIRECT($H$24),ROW()-18,COLUMN()-1,1,1)=0,"",OFFSET(INDIRECT($H$24),ROW()-18,COLUMN()-1,1,1))</f>
        <v/>
      </c>
    </row>
    <row r="30" spans="1:9" x14ac:dyDescent="0.4">
      <c r="A30" s="72" t="str">
        <f t="shared" ca="1" si="2"/>
        <v>당기순이익</v>
      </c>
      <c r="B30" s="71">
        <v>90</v>
      </c>
      <c r="C30" s="71">
        <v>125</v>
      </c>
      <c r="D30" s="71">
        <v>245</v>
      </c>
      <c r="E30" s="71">
        <v>176</v>
      </c>
      <c r="F30" s="71">
        <v>145</v>
      </c>
      <c r="G30" s="71"/>
      <c r="H30" s="71"/>
      <c r="I30" s="71"/>
    </row>
    <row r="31" spans="1:9" x14ac:dyDescent="0.4">
      <c r="A31" s="73" t="str">
        <f t="shared" ca="1" si="2"/>
        <v>  지배주주순이익</v>
      </c>
      <c r="B31" s="74">
        <v>89</v>
      </c>
      <c r="C31" s="74">
        <v>123</v>
      </c>
      <c r="D31" s="74">
        <v>240</v>
      </c>
      <c r="E31" s="74">
        <v>175</v>
      </c>
      <c r="F31" s="74">
        <v>145</v>
      </c>
      <c r="G31" s="74"/>
      <c r="H31" s="74"/>
      <c r="I31" s="74"/>
    </row>
    <row r="32" spans="1:9" x14ac:dyDescent="0.4">
      <c r="A32" s="72" t="str">
        <f t="shared" ca="1" si="2"/>
        <v>  비지배주주순이익</v>
      </c>
      <c r="B32" s="71">
        <v>0</v>
      </c>
      <c r="C32" s="71">
        <v>2</v>
      </c>
      <c r="D32" s="71">
        <v>5</v>
      </c>
      <c r="E32" s="71">
        <v>1</v>
      </c>
      <c r="F32" s="71">
        <v>0</v>
      </c>
      <c r="G32" s="71" t="str">
        <f t="shared" ref="G32:I35" ca="1" si="3">IF(OFFSET(INDIRECT($H$24),ROW()-18,COLUMN()-1,1,1)=0,"",OFFSET(INDIRECT($H$24),ROW()-18,COLUMN()-1,1,1))</f>
        <v/>
      </c>
      <c r="H32" s="71" t="str">
        <f t="shared" ca="1" si="3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2529</v>
      </c>
      <c r="C33" s="71">
        <v>3026</v>
      </c>
      <c r="D33" s="71">
        <v>3647</v>
      </c>
      <c r="E33" s="71">
        <v>3435</v>
      </c>
      <c r="F33" s="71">
        <v>3634</v>
      </c>
      <c r="G33" s="71">
        <f t="shared" ca="1" si="3"/>
        <v>4561023</v>
      </c>
      <c r="H33" s="71">
        <f t="shared" ca="1" si="3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900</v>
      </c>
      <c r="C34" s="71">
        <v>1246</v>
      </c>
      <c r="D34" s="71">
        <v>1624</v>
      </c>
      <c r="E34" s="71">
        <v>1253</v>
      </c>
      <c r="F34" s="71">
        <v>1292</v>
      </c>
      <c r="G34" s="71">
        <f t="shared" ca="1" si="3"/>
        <v>1194703</v>
      </c>
      <c r="H34" s="71">
        <f t="shared" ca="1" si="3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1630</v>
      </c>
      <c r="C35" s="71">
        <v>1780</v>
      </c>
      <c r="D35" s="71">
        <v>2023</v>
      </c>
      <c r="E35" s="71">
        <v>2182</v>
      </c>
      <c r="F35" s="71">
        <v>2342</v>
      </c>
      <c r="G35" s="71">
        <f t="shared" ca="1" si="3"/>
        <v>3366321</v>
      </c>
      <c r="H35" s="71">
        <f t="shared" ca="1" si="3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1614</v>
      </c>
      <c r="C36" s="74">
        <v>1759</v>
      </c>
      <c r="D36" s="74">
        <v>1997</v>
      </c>
      <c r="E36" s="74">
        <v>2155</v>
      </c>
      <c r="F36" s="74">
        <v>2313</v>
      </c>
      <c r="G36" s="74"/>
      <c r="H36" s="74"/>
      <c r="I36" s="74"/>
    </row>
    <row r="37" spans="1:9" x14ac:dyDescent="0.4">
      <c r="A37" s="72" t="str">
        <f t="shared" ca="1" si="2"/>
        <v>  비지배주주지분</v>
      </c>
      <c r="B37" s="71">
        <v>16</v>
      </c>
      <c r="C37" s="71">
        <v>22</v>
      </c>
      <c r="D37" s="71">
        <v>27</v>
      </c>
      <c r="E37" s="71">
        <v>27</v>
      </c>
      <c r="F37" s="71">
        <v>29</v>
      </c>
      <c r="G37" s="71">
        <f t="shared" ref="G37:I38" ca="1" si="4">IF(OFFSET(INDIRECT($H$24),ROW()-18,COLUMN()-1,1,1)=0,"",OFFSET(INDIRECT($H$24),ROW()-18,COLUMN()-1,1,1))</f>
        <v>99222</v>
      </c>
      <c r="H37" s="71">
        <f t="shared" ca="1" si="4"/>
        <v>111326</v>
      </c>
      <c r="I37" s="71" t="str">
        <f t="shared" ca="1" si="4"/>
        <v/>
      </c>
    </row>
    <row r="38" spans="1:9" x14ac:dyDescent="0.4">
      <c r="A38" s="72" t="str">
        <f t="shared" ca="1" si="2"/>
        <v>자본금</v>
      </c>
      <c r="B38" s="71">
        <v>80</v>
      </c>
      <c r="C38" s="71">
        <v>80</v>
      </c>
      <c r="D38" s="71">
        <v>80</v>
      </c>
      <c r="E38" s="71">
        <v>80</v>
      </c>
      <c r="F38" s="71">
        <v>80</v>
      </c>
      <c r="G38" s="71">
        <f t="shared" ca="1" si="4"/>
        <v>8979</v>
      </c>
      <c r="H38" s="71">
        <f t="shared" ca="1" si="4"/>
        <v>8979</v>
      </c>
      <c r="I38" s="71" t="str">
        <f t="shared" ca="1" si="4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3.6400000000000002E-2</v>
      </c>
      <c r="C39" s="75">
        <f ca="1">OFFSET(INDIRECT($H$24),ROW()-2,COLUMN()-1,1,1)/100</f>
        <v>4.5100000000000001E-2</v>
      </c>
      <c r="D39" s="75">
        <f ca="1">OFFSET(INDIRECT($H$24),ROW()-2,COLUMN()-1,1,1)/100</f>
        <v>7.3599999999999999E-2</v>
      </c>
      <c r="E39" s="75">
        <f ca="1">OFFSET(INDIRECT($H$24),ROW()-2,COLUMN()-1,1,1)/100</f>
        <v>4.9599999999999998E-2</v>
      </c>
      <c r="F39" s="75">
        <f ca="1">OFFSET(INDIRECT($H$24),ROW()-2,COLUMN()-1,1,1)/100</f>
        <v>4.1100000000000005E-2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5.67E-2</v>
      </c>
      <c r="C40" s="75">
        <v>7.2900000000000006E-2</v>
      </c>
      <c r="D40" s="75">
        <v>0.128</v>
      </c>
      <c r="E40" s="75">
        <v>8.4199999999999997E-2</v>
      </c>
      <c r="F40" s="75">
        <v>6.5099999999999991E-2</v>
      </c>
      <c r="G40" s="75"/>
      <c r="H40" s="75"/>
      <c r="I40" s="75"/>
    </row>
    <row r="41" spans="1:9" ht="16.5" customHeight="1" x14ac:dyDescent="0.4">
      <c r="A41" s="72" t="str">
        <f ca="1">OFFSET(INDIRECT($H$24),ROW()+4,COLUMN()-1,1,1)</f>
        <v>EPS(원)</v>
      </c>
      <c r="B41" s="71">
        <v>558</v>
      </c>
      <c r="C41" s="71">
        <v>768</v>
      </c>
      <c r="D41" s="71">
        <v>1502</v>
      </c>
      <c r="E41" s="71">
        <v>1093</v>
      </c>
      <c r="F41" s="71">
        <v>909</v>
      </c>
      <c r="G41" s="71"/>
      <c r="H41" s="71"/>
      <c r="I41" s="71"/>
    </row>
    <row r="42" spans="1:9" ht="16.5" customHeight="1" x14ac:dyDescent="0.4">
      <c r="A42" s="72" t="str">
        <f ca="1">OFFSET(INDIRECT($H$24),ROW()+7,COLUMN()-1,1,1)</f>
        <v>BPS(원)</v>
      </c>
      <c r="B42" s="71">
        <v>10087</v>
      </c>
      <c r="C42" s="71">
        <v>10991</v>
      </c>
      <c r="D42" s="71">
        <v>12480</v>
      </c>
      <c r="E42" s="71">
        <v>13467</v>
      </c>
      <c r="F42" s="71">
        <v>14456</v>
      </c>
      <c r="G42" s="71"/>
      <c r="H42" s="71"/>
      <c r="I42" s="71"/>
    </row>
    <row r="43" spans="1:9" ht="16.5" customHeight="1" x14ac:dyDescent="0.4">
      <c r="A43" s="72" t="str">
        <f ca="1">OFFSET(INDIRECT($H$24),ROW()+10,COLUMN()-1,1,1)</f>
        <v>DPS(원)</v>
      </c>
      <c r="B43" s="71">
        <v>50</v>
      </c>
      <c r="C43" s="71">
        <v>50</v>
      </c>
      <c r="D43" s="71">
        <v>60</v>
      </c>
      <c r="E43" s="71">
        <v>60</v>
      </c>
      <c r="F43" s="71">
        <v>70</v>
      </c>
      <c r="G43" s="71"/>
      <c r="H43" s="71"/>
      <c r="I43" s="71"/>
    </row>
    <row r="44" spans="1:9" ht="16.5" customHeight="1" x14ac:dyDescent="0.4">
      <c r="A44" s="72" t="str">
        <f ca="1">OFFSET(INDIRECT($H$24),ROW()+22,COLUMN()-1,1,1)</f>
        <v>배당수익률(%)</v>
      </c>
      <c r="B44" s="75">
        <v>8.0000000000000002E-3</v>
      </c>
      <c r="C44" s="75">
        <v>8.6999999999999994E-3</v>
      </c>
      <c r="D44" s="75">
        <v>1.0800000000000001E-2</v>
      </c>
      <c r="E44" s="75">
        <v>1.3899999999999999E-2</v>
      </c>
      <c r="F44" s="75">
        <v>1.83E-2</v>
      </c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45717</v>
      </c>
      <c r="C50" s="72">
        <f ca="1">OFFSET(INDIRECT($H$24),72,2,1,1)</f>
        <v>45809</v>
      </c>
      <c r="D50" s="72">
        <f ca="1">OFFSET(INDIRECT($H$24),72,3,1,1)</f>
        <v>45901</v>
      </c>
      <c r="E50" s="72">
        <f ca="1">OFFSET(INDIRECT($H$24),72,4,1,1)</f>
        <v>45992</v>
      </c>
      <c r="F50" s="72">
        <f ca="1">OFFSET(INDIRECT($H$24),72,5,1,1)</f>
        <v>45992</v>
      </c>
      <c r="K50" s="1">
        <f ca="1">MONTH(F50)</f>
        <v>12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741</v>
      </c>
      <c r="C51" s="71">
        <f t="shared" ca="1" si="5"/>
        <v>767</v>
      </c>
      <c r="D51" s="71">
        <f t="shared" ca="1" si="5"/>
        <v>747</v>
      </c>
      <c r="E51" s="71">
        <f t="shared" ca="1" si="5"/>
        <v>747</v>
      </c>
      <c r="F51" s="71">
        <f t="shared" ca="1" si="5"/>
        <v>747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741</v>
      </c>
    </row>
    <row r="52" spans="1:11" x14ac:dyDescent="0.4">
      <c r="A52" s="72" t="str">
        <f t="shared" ca="1" si="5"/>
        <v>영업이익</v>
      </c>
      <c r="B52" s="71">
        <f t="shared" ca="1" si="5"/>
        <v>57</v>
      </c>
      <c r="C52" s="71">
        <f t="shared" ca="1" si="5"/>
        <v>30</v>
      </c>
      <c r="D52" s="71">
        <f t="shared" ca="1" si="5"/>
        <v>55</v>
      </c>
      <c r="E52" s="71">
        <f t="shared" ca="1" si="5"/>
        <v>55</v>
      </c>
      <c r="F52" s="71">
        <f t="shared" ca="1" si="5"/>
        <v>55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57</v>
      </c>
      <c r="C53" s="71">
        <f t="shared" ca="1" si="5"/>
        <v>30</v>
      </c>
      <c r="D53" s="71">
        <f t="shared" ca="1" si="5"/>
        <v>55</v>
      </c>
      <c r="E53" s="71">
        <f t="shared" ca="1" si="5"/>
        <v>55</v>
      </c>
      <c r="F53" s="71">
        <f t="shared" ca="1" si="5"/>
        <v>55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42</v>
      </c>
      <c r="C54" s="71">
        <f t="shared" ca="1" si="5"/>
        <v>-1</v>
      </c>
      <c r="D54" s="71">
        <f t="shared" ca="1" si="5"/>
        <v>73</v>
      </c>
      <c r="E54" s="71">
        <f t="shared" ca="1" si="5"/>
        <v>73</v>
      </c>
      <c r="F54" s="71">
        <f t="shared" ca="1" si="5"/>
        <v>73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43</v>
      </c>
      <c r="C55" s="71">
        <f t="shared" ca="1" si="5"/>
        <v>0</v>
      </c>
      <c r="D55" s="71">
        <f t="shared" ca="1" si="5"/>
        <v>73</v>
      </c>
      <c r="E55" s="71">
        <f t="shared" ca="1" si="5"/>
        <v>73</v>
      </c>
      <c r="F55" s="71">
        <f t="shared" ca="1" si="5"/>
        <v>73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219</v>
      </c>
    </row>
    <row r="56" spans="1:11" x14ac:dyDescent="0.4">
      <c r="A56" s="72" t="str">
        <f t="shared" ca="1" si="5"/>
        <v>  비지배주주순이익</v>
      </c>
      <c r="B56" s="71">
        <f t="shared" ca="1" si="5"/>
        <v>-1</v>
      </c>
      <c r="C56" s="71">
        <f t="shared" ca="1" si="5"/>
        <v>-1</v>
      </c>
      <c r="D56" s="71">
        <f t="shared" ca="1" si="5"/>
        <v>0</v>
      </c>
      <c r="E56" s="71">
        <f t="shared" ca="1" si="5"/>
        <v>0</v>
      </c>
      <c r="F56" s="71">
        <f t="shared" ca="1" si="5"/>
        <v>0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3557</v>
      </c>
      <c r="C57" s="71">
        <f t="shared" ca="1" si="5"/>
        <v>3595</v>
      </c>
      <c r="D57" s="71">
        <f t="shared" ca="1" si="5"/>
        <v>3640</v>
      </c>
      <c r="E57" s="71">
        <f t="shared" ca="1" si="5"/>
        <v>3640</v>
      </c>
      <c r="F57" s="71">
        <f t="shared" ca="1" si="5"/>
        <v>3640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1181</v>
      </c>
      <c r="C58" s="71">
        <f t="shared" ca="1" si="5"/>
        <v>1246</v>
      </c>
      <c r="D58" s="71">
        <f t="shared" ca="1" si="5"/>
        <v>1217</v>
      </c>
      <c r="E58" s="71">
        <f t="shared" ca="1" si="5"/>
        <v>1217</v>
      </c>
      <c r="F58" s="71">
        <f t="shared" ca="1" si="5"/>
        <v>1217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2377</v>
      </c>
      <c r="C59" s="71">
        <f t="shared" ca="1" si="5"/>
        <v>2349</v>
      </c>
      <c r="D59" s="71">
        <f t="shared" ca="1" si="5"/>
        <v>2423</v>
      </c>
      <c r="E59" s="71">
        <f t="shared" ca="1" si="5"/>
        <v>2423</v>
      </c>
      <c r="F59" s="71">
        <f t="shared" ca="1" si="5"/>
        <v>2423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2348</v>
      </c>
      <c r="C60" s="71">
        <f t="shared" ca="1" si="5"/>
        <v>2324</v>
      </c>
      <c r="D60" s="71">
        <f t="shared" ca="1" si="5"/>
        <v>2397</v>
      </c>
      <c r="E60" s="71">
        <f t="shared" ca="1" si="5"/>
        <v>2397</v>
      </c>
      <c r="F60" s="71">
        <f t="shared" ca="1" si="5"/>
        <v>2397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2372.5</v>
      </c>
    </row>
    <row r="61" spans="1:11" x14ac:dyDescent="0.4">
      <c r="A61" s="72" t="str">
        <f t="shared" ca="1" si="5"/>
        <v>  비지배주주지분</v>
      </c>
      <c r="B61" s="71">
        <f t="shared" ca="1" si="5"/>
        <v>29</v>
      </c>
      <c r="C61" s="71">
        <f t="shared" ca="1" si="5"/>
        <v>26</v>
      </c>
      <c r="D61" s="71">
        <f t="shared" ca="1" si="5"/>
        <v>26</v>
      </c>
      <c r="E61" s="71">
        <f t="shared" ca="1" si="5"/>
        <v>26</v>
      </c>
      <c r="F61" s="71">
        <f t="shared" ca="1" si="5"/>
        <v>26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>
        <f ca="1">IF(K51=0,K60/K51,K55/K60)</f>
        <v>9.2307692307692313E-2</v>
      </c>
    </row>
    <row r="62" spans="1:11" x14ac:dyDescent="0.4">
      <c r="A62" s="72" t="str">
        <f t="shared" ca="1" si="5"/>
        <v>자본금</v>
      </c>
      <c r="B62" s="71">
        <f t="shared" ca="1" si="5"/>
        <v>80</v>
      </c>
      <c r="C62" s="71">
        <f t="shared" ca="1" si="5"/>
        <v>80</v>
      </c>
      <c r="D62" s="71">
        <f t="shared" ca="1" si="5"/>
        <v>80</v>
      </c>
      <c r="E62" s="71">
        <f t="shared" ca="1" si="5"/>
        <v>80</v>
      </c>
      <c r="F62" s="71">
        <f t="shared" ca="1" si="5"/>
        <v>80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9.2307692307692313E-2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6.5099999999999991E-2</v>
      </c>
      <c r="C85" s="75">
        <v>1.9099999999999999E-2</v>
      </c>
      <c r="D85" s="75">
        <v>7.4700000000000003E-2</v>
      </c>
    </row>
    <row r="86" spans="1:9" x14ac:dyDescent="0.4">
      <c r="A86" s="9" t="s">
        <v>74</v>
      </c>
      <c r="B86" s="183">
        <v>4.2</v>
      </c>
      <c r="C86" s="183">
        <v>29.1</v>
      </c>
      <c r="D86" s="183">
        <f ca="1">OFFSET(INDIRECT($H$82),11,3,1,1)</f>
        <v>22.35</v>
      </c>
    </row>
    <row r="87" spans="1:9" x14ac:dyDescent="0.4">
      <c r="A87" s="9" t="s">
        <v>85</v>
      </c>
      <c r="B87" s="75">
        <v>1.83E-2</v>
      </c>
      <c r="C87" s="75">
        <v>2.58E-2</v>
      </c>
      <c r="D87" s="75">
        <v>2.2800000000000001E-2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2024</v>
      </c>
      <c r="D2" s="1" t="s">
        <v>249</v>
      </c>
      <c r="E2" s="174">
        <f>Data!B40</f>
        <v>5.67E-2</v>
      </c>
      <c r="F2" s="174">
        <f>Data!C40</f>
        <v>7.2900000000000006E-2</v>
      </c>
      <c r="G2" s="174">
        <f>Data!D40</f>
        <v>0.128</v>
      </c>
      <c r="H2" s="174">
        <f>Data!E40</f>
        <v>8.4199999999999997E-2</v>
      </c>
      <c r="I2" s="174">
        <f>Data!F40</f>
        <v>6.5099999999999991E-2</v>
      </c>
      <c r="J2" s="174">
        <f>Data!G40</f>
        <v>0</v>
      </c>
      <c r="K2" s="174">
        <f>Data!H40</f>
        <v>0</v>
      </c>
      <c r="L2" s="174">
        <f>Data!I40</f>
        <v>0</v>
      </c>
      <c r="M2" s="174">
        <f ca="1">Data!K78</f>
        <v>9.2307692307692313E-2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1614</v>
      </c>
      <c r="F3" s="76">
        <f>Data!C36</f>
        <v>1759</v>
      </c>
      <c r="G3" s="76">
        <f>Data!D36</f>
        <v>1997</v>
      </c>
      <c r="H3" s="76">
        <f>Data!E36</f>
        <v>2155</v>
      </c>
      <c r="I3" s="76">
        <f>Data!F36</f>
        <v>2313</v>
      </c>
      <c r="J3" s="76">
        <f>Data!G36</f>
        <v>0</v>
      </c>
      <c r="K3" s="76">
        <f>Data!H36</f>
        <v>0</v>
      </c>
      <c r="L3" s="76">
        <f>Data!I36</f>
        <v>0</v>
      </c>
      <c r="M3" s="76">
        <f ca="1">IF(ISERR(Data!K61),IF(Data!K69=0,Data!F36,Data!F75),Data!F60)</f>
        <v>2397</v>
      </c>
    </row>
    <row r="4" spans="1:13" x14ac:dyDescent="0.4">
      <c r="A4" s="15" t="s">
        <v>384</v>
      </c>
      <c r="B4" s="13">
        <f ca="1">Data!B7+Data!C7</f>
        <v>16000000</v>
      </c>
      <c r="D4" s="1" t="s">
        <v>362</v>
      </c>
      <c r="E4" s="199">
        <f>DATE(Data!B26,12,31)</f>
        <v>44196</v>
      </c>
      <c r="F4" s="199">
        <f>DATE(Data!C26,12,31)</f>
        <v>44561</v>
      </c>
      <c r="G4" s="199">
        <f>DATE(Data!D26,12,31)</f>
        <v>44926</v>
      </c>
      <c r="H4" s="199">
        <f>DATE(Data!E26,12,31)</f>
        <v>45291</v>
      </c>
      <c r="I4" s="199">
        <f>DATE(Data!F26,12,31)</f>
        <v>45657</v>
      </c>
      <c r="J4" s="199">
        <f>DATE(Data!G26,12,31)</f>
        <v>46022</v>
      </c>
      <c r="K4" s="199">
        <f>DATE(Data!H26,12,31)</f>
        <v>46387</v>
      </c>
      <c r="L4" s="199">
        <f>DATE(Data!I26,12,31)</f>
        <v>46752</v>
      </c>
      <c r="M4" s="199">
        <f ca="1">EOMONTH(Data!F50,0)</f>
        <v>46022</v>
      </c>
    </row>
    <row r="5" spans="1:13" x14ac:dyDescent="0.4">
      <c r="A5" s="15" t="s">
        <v>344</v>
      </c>
      <c r="B5" s="13">
        <f ca="1">Data!B8</f>
        <v>0</v>
      </c>
      <c r="D5" s="1" t="s">
        <v>385</v>
      </c>
      <c r="E5" s="76">
        <f>Data!B31</f>
        <v>89</v>
      </c>
      <c r="F5" s="76">
        <f>Data!C31</f>
        <v>123</v>
      </c>
      <c r="G5" s="76">
        <f>Data!D31</f>
        <v>240</v>
      </c>
      <c r="H5" s="76">
        <f>Data!E31</f>
        <v>175</v>
      </c>
      <c r="I5" s="76">
        <f>Data!F31</f>
        <v>145</v>
      </c>
      <c r="J5" s="76">
        <f>Data!G31</f>
        <v>0</v>
      </c>
      <c r="K5" s="76">
        <f>Data!H31</f>
        <v>0</v>
      </c>
      <c r="L5" s="76">
        <f>Data!I31</f>
        <v>0</v>
      </c>
      <c r="M5" s="76">
        <f ca="1">IF(ISERR(Data!K61),IF(Data!K69=0,Data!F31,Data!K72),Data!K55)</f>
        <v>219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8.1949999999999995E-2</v>
      </c>
      <c r="E7" s="5" t="s">
        <v>386</v>
      </c>
      <c r="F7" s="50">
        <v>45657</v>
      </c>
      <c r="G7" s="5" t="s">
        <v>387</v>
      </c>
      <c r="H7" s="60">
        <f ca="1">TODAY()</f>
        <v>46101</v>
      </c>
      <c r="I7" s="5" t="s">
        <v>388</v>
      </c>
      <c r="J7" s="5">
        <v>2034</v>
      </c>
    </row>
    <row r="8" spans="1:13" x14ac:dyDescent="0.4">
      <c r="E8" s="5" t="s">
        <v>389</v>
      </c>
      <c r="F8" s="49">
        <f ca="1">IF(ISNA(HLOOKUP(B7,$E$2:$M$3,2,FALSE)),M3,HLOOKUP(B7,$E$2:$M$3,2,FALSE))</f>
        <v>2397</v>
      </c>
      <c r="G8" s="5" t="s">
        <v>390</v>
      </c>
      <c r="H8" s="61">
        <f ca="1">F7-H7</f>
        <v>-444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2234.3897623718935</v>
      </c>
      <c r="C11" s="41">
        <f ca="1">C26</f>
        <v>13964.936014824334</v>
      </c>
      <c r="D11" s="42" t="s">
        <v>369</v>
      </c>
      <c r="E11" s="176">
        <f ca="1">B11/$I$5</f>
        <v>15.409584568082025</v>
      </c>
    </row>
    <row r="12" spans="1:13" ht="16.5" customHeight="1" x14ac:dyDescent="0.4">
      <c r="A12" s="35" t="s">
        <v>370</v>
      </c>
      <c r="B12" s="36">
        <f ca="1">C38</f>
        <v>2417.1327600805098</v>
      </c>
      <c r="C12" s="37">
        <f ca="1">C39</f>
        <v>15107.079750503186</v>
      </c>
      <c r="D12" s="38" t="s">
        <v>394</v>
      </c>
      <c r="E12" s="177">
        <f ca="1">B12/$I$5</f>
        <v>16.669881104003515</v>
      </c>
    </row>
    <row r="13" spans="1:13" ht="16.5" customHeight="1" x14ac:dyDescent="0.4">
      <c r="A13" s="43" t="s">
        <v>372</v>
      </c>
      <c r="B13" s="44">
        <f ca="1">C51</f>
        <v>2524.0082355827249</v>
      </c>
      <c r="C13" s="45">
        <f ca="1">C52</f>
        <v>15775.05147239203</v>
      </c>
      <c r="D13" s="46" t="s">
        <v>371</v>
      </c>
      <c r="E13" s="178">
        <f ca="1">B13/$I$5</f>
        <v>17.406953348846379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45657</v>
      </c>
      <c r="C16" s="200">
        <f t="shared" ref="C16:L16" si="0">B16+365</f>
        <v>46022</v>
      </c>
      <c r="D16" s="200">
        <f t="shared" si="0"/>
        <v>46387</v>
      </c>
      <c r="E16" s="200">
        <f t="shared" si="0"/>
        <v>46752</v>
      </c>
      <c r="F16" s="200">
        <f t="shared" si="0"/>
        <v>47117</v>
      </c>
      <c r="G16" s="200">
        <f t="shared" si="0"/>
        <v>47482</v>
      </c>
      <c r="H16" s="200">
        <f t="shared" si="0"/>
        <v>47847</v>
      </c>
      <c r="I16" s="200">
        <f t="shared" si="0"/>
        <v>48212</v>
      </c>
      <c r="J16" s="200">
        <f t="shared" si="0"/>
        <v>48577</v>
      </c>
      <c r="K16" s="200">
        <f t="shared" si="0"/>
        <v>48942</v>
      </c>
      <c r="L16" s="200">
        <f t="shared" si="0"/>
        <v>49307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-2.0650000000000002E-2</v>
      </c>
      <c r="C18" s="19">
        <f t="shared" ref="C18:L18" ca="1" si="2">IF(YEAR(C16)&gt;$J$7,0,B18*$B$15)</f>
        <v>-2.0650000000000002E-2</v>
      </c>
      <c r="D18" s="19">
        <f t="shared" ca="1" si="2"/>
        <v>-2.0650000000000002E-2</v>
      </c>
      <c r="E18" s="19">
        <f t="shared" ca="1" si="2"/>
        <v>-2.0650000000000002E-2</v>
      </c>
      <c r="F18" s="19">
        <f t="shared" ca="1" si="2"/>
        <v>-2.0650000000000002E-2</v>
      </c>
      <c r="G18" s="19">
        <f t="shared" ca="1" si="2"/>
        <v>-2.0650000000000002E-2</v>
      </c>
      <c r="H18" s="19">
        <f t="shared" ca="1" si="2"/>
        <v>-2.0650000000000002E-2</v>
      </c>
      <c r="I18" s="19">
        <f t="shared" ca="1" si="2"/>
        <v>-2.0650000000000002E-2</v>
      </c>
      <c r="J18" s="19">
        <f t="shared" ca="1" si="2"/>
        <v>-2.0650000000000002E-2</v>
      </c>
      <c r="K18" s="19">
        <f t="shared" ca="1" si="2"/>
        <v>-2.0650000000000002E-2</v>
      </c>
      <c r="L18" s="19">
        <f t="shared" ca="1" si="2"/>
        <v>-2.0650000000000002E-2</v>
      </c>
    </row>
    <row r="19" spans="1:12" x14ac:dyDescent="0.4">
      <c r="A19" s="15" t="s">
        <v>249</v>
      </c>
      <c r="B19" s="19">
        <f t="shared" ref="B19:L19" ca="1" si="3">B17+B18</f>
        <v>8.1949999999999995E-2</v>
      </c>
      <c r="C19" s="19">
        <f t="shared" ca="1" si="3"/>
        <v>8.1949999999999995E-2</v>
      </c>
      <c r="D19" s="19">
        <f t="shared" ca="1" si="3"/>
        <v>8.1949999999999995E-2</v>
      </c>
      <c r="E19" s="19">
        <f t="shared" ca="1" si="3"/>
        <v>8.1949999999999995E-2</v>
      </c>
      <c r="F19" s="19">
        <f t="shared" ca="1" si="3"/>
        <v>8.1949999999999995E-2</v>
      </c>
      <c r="G19" s="19">
        <f t="shared" ca="1" si="3"/>
        <v>8.1949999999999995E-2</v>
      </c>
      <c r="H19" s="19">
        <f t="shared" ca="1" si="3"/>
        <v>8.1949999999999995E-2</v>
      </c>
      <c r="I19" s="19">
        <f t="shared" ca="1" si="3"/>
        <v>8.1949999999999995E-2</v>
      </c>
      <c r="J19" s="19">
        <f t="shared" ca="1" si="3"/>
        <v>8.1949999999999995E-2</v>
      </c>
      <c r="K19" s="19">
        <f t="shared" ca="1" si="3"/>
        <v>8.1949999999999995E-2</v>
      </c>
      <c r="L19" s="19">
        <f t="shared" ca="1" si="3"/>
        <v>8.1949999999999995E-2</v>
      </c>
    </row>
    <row r="20" spans="1:12" x14ac:dyDescent="0.4">
      <c r="A20" s="15" t="s">
        <v>385</v>
      </c>
      <c r="B20" s="20"/>
      <c r="C20" s="20">
        <f t="shared" ref="C20:L20" ca="1" si="4">B21*C19</f>
        <v>196.43414999999999</v>
      </c>
      <c r="D20" s="20">
        <f t="shared" ca="1" si="4"/>
        <v>212.53192859249998</v>
      </c>
      <c r="E20" s="20">
        <f t="shared" ca="1" si="4"/>
        <v>229.94892014065533</v>
      </c>
      <c r="F20" s="20">
        <f t="shared" ca="1" si="4"/>
        <v>248.79323414618204</v>
      </c>
      <c r="G20" s="20">
        <f t="shared" ca="1" si="4"/>
        <v>269.18183968446169</v>
      </c>
      <c r="H20" s="20">
        <f t="shared" ca="1" si="4"/>
        <v>291.24129144660327</v>
      </c>
      <c r="I20" s="20">
        <f t="shared" ca="1" si="4"/>
        <v>315.1085152806524</v>
      </c>
      <c r="J20" s="20">
        <f t="shared" ca="1" si="4"/>
        <v>340.93165810790191</v>
      </c>
      <c r="K20" s="20">
        <f t="shared" ca="1" si="4"/>
        <v>368.87100748984443</v>
      </c>
      <c r="L20" s="20">
        <f t="shared" ca="1" si="4"/>
        <v>399.09998655363722</v>
      </c>
    </row>
    <row r="21" spans="1:12" x14ac:dyDescent="0.4">
      <c r="A21" s="15" t="s">
        <v>383</v>
      </c>
      <c r="B21" s="20">
        <f ca="1">$F$8</f>
        <v>2397</v>
      </c>
      <c r="C21" s="20">
        <f t="shared" ref="C21:L21" ca="1" si="5">B21+C20</f>
        <v>2593.43415</v>
      </c>
      <c r="D21" s="20">
        <f t="shared" ca="1" si="5"/>
        <v>2805.9660785924998</v>
      </c>
      <c r="E21" s="20">
        <f t="shared" ca="1" si="5"/>
        <v>3035.9149987331552</v>
      </c>
      <c r="F21" s="20">
        <f t="shared" ca="1" si="5"/>
        <v>3284.7082328793372</v>
      </c>
      <c r="G21" s="20">
        <f t="shared" ca="1" si="5"/>
        <v>3553.8900725637986</v>
      </c>
      <c r="H21" s="20">
        <f t="shared" ca="1" si="5"/>
        <v>3845.1313640104017</v>
      </c>
      <c r="I21" s="20">
        <f t="shared" ca="1" si="5"/>
        <v>4160.2398792910544</v>
      </c>
      <c r="J21" s="20">
        <f t="shared" ca="1" si="5"/>
        <v>4501.1715373989564</v>
      </c>
      <c r="K21" s="20">
        <f t="shared" ca="1" si="5"/>
        <v>4870.0425448888009</v>
      </c>
      <c r="L21" s="20">
        <f t="shared" ca="1" si="5"/>
        <v>5269.1425314424378</v>
      </c>
    </row>
    <row r="22" spans="1:12" x14ac:dyDescent="0.4">
      <c r="A22" s="15" t="s">
        <v>398</v>
      </c>
      <c r="B22" s="20"/>
      <c r="C22" s="20">
        <f t="shared" ref="C22:L22" ca="1" si="6">C20-B21*C17</f>
        <v>-49.498050000000006</v>
      </c>
      <c r="D22" s="20">
        <f t="shared" ca="1" si="6"/>
        <v>-53.55441519750002</v>
      </c>
      <c r="E22" s="20">
        <f t="shared" ca="1" si="6"/>
        <v>-57.943199522935117</v>
      </c>
      <c r="F22" s="20">
        <f t="shared" ca="1" si="6"/>
        <v>-62.691644723839659</v>
      </c>
      <c r="G22" s="20">
        <f t="shared" ca="1" si="6"/>
        <v>-67.829225008958304</v>
      </c>
      <c r="H22" s="20">
        <f t="shared" ca="1" si="6"/>
        <v>-73.387829998442442</v>
      </c>
      <c r="I22" s="20">
        <f t="shared" ca="1" si="6"/>
        <v>-79.401962666814825</v>
      </c>
      <c r="J22" s="20">
        <f t="shared" ca="1" si="6"/>
        <v>-85.908953507360252</v>
      </c>
      <c r="K22" s="20">
        <f t="shared" ca="1" si="6"/>
        <v>-92.949192247288465</v>
      </c>
      <c r="L22" s="20">
        <f t="shared" ca="1" si="6"/>
        <v>-100.56637855195373</v>
      </c>
    </row>
    <row r="23" spans="1:12" x14ac:dyDescent="0.4">
      <c r="A23" s="15" t="s">
        <v>399</v>
      </c>
      <c r="B23" s="62">
        <f ca="1">NPV($B$3,C22:L22)</f>
        <v>-412.9159535759498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1984.0840464240503</v>
      </c>
      <c r="C25" s="63">
        <f ca="1">B25/(1+$B$3)^($H$8/365)</f>
        <v>2234.3897623718935</v>
      </c>
    </row>
    <row r="26" spans="1:12" x14ac:dyDescent="0.4">
      <c r="A26" s="15" t="s">
        <v>363</v>
      </c>
      <c r="B26" s="23">
        <f ca="1">B25*100000000/($B$4-$B$5)</f>
        <v>12400.525290150314</v>
      </c>
      <c r="C26" s="23">
        <f ca="1">B26/(1+$B$3)^($H$8/365)</f>
        <v>13964.936014824334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45657</v>
      </c>
      <c r="C29" s="200">
        <f t="shared" ref="C29:L29" si="7">B29+365</f>
        <v>46022</v>
      </c>
      <c r="D29" s="200">
        <f t="shared" si="7"/>
        <v>46387</v>
      </c>
      <c r="E29" s="200">
        <f t="shared" si="7"/>
        <v>46752</v>
      </c>
      <c r="F29" s="200">
        <f t="shared" si="7"/>
        <v>47117</v>
      </c>
      <c r="G29" s="200">
        <f t="shared" si="7"/>
        <v>47482</v>
      </c>
      <c r="H29" s="200">
        <f t="shared" si="7"/>
        <v>47847</v>
      </c>
      <c r="I29" s="200">
        <f t="shared" si="7"/>
        <v>48212</v>
      </c>
      <c r="J29" s="200">
        <f t="shared" si="7"/>
        <v>48577</v>
      </c>
      <c r="K29" s="200">
        <f t="shared" si="7"/>
        <v>48942</v>
      </c>
      <c r="L29" s="200">
        <f t="shared" si="7"/>
        <v>49307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-2.0650000000000002E-2</v>
      </c>
      <c r="C31" s="19">
        <f t="shared" ref="C31:L31" ca="1" si="9">IF(YEAR(C16)&gt;$J$7,0,B31*$B$28)</f>
        <v>-1.8585000000000001E-2</v>
      </c>
      <c r="D31" s="19">
        <f t="shared" ca="1" si="9"/>
        <v>-1.6726500000000002E-2</v>
      </c>
      <c r="E31" s="19">
        <f t="shared" ca="1" si="9"/>
        <v>-1.5053850000000002E-2</v>
      </c>
      <c r="F31" s="19">
        <f t="shared" ca="1" si="9"/>
        <v>-1.3548465000000003E-2</v>
      </c>
      <c r="G31" s="19">
        <f t="shared" ca="1" si="9"/>
        <v>-1.2193618500000003E-2</v>
      </c>
      <c r="H31" s="19">
        <f t="shared" ca="1" si="9"/>
        <v>-1.0974256650000003E-2</v>
      </c>
      <c r="I31" s="19">
        <f t="shared" ca="1" si="9"/>
        <v>-9.8768309850000031E-3</v>
      </c>
      <c r="J31" s="19">
        <f t="shared" ca="1" si="9"/>
        <v>-8.8891478865000036E-3</v>
      </c>
      <c r="K31" s="19">
        <f t="shared" ca="1" si="9"/>
        <v>-8.0002330978500031E-3</v>
      </c>
      <c r="L31" s="19">
        <f t="shared" ca="1" si="9"/>
        <v>-7.200209788065003E-3</v>
      </c>
    </row>
    <row r="32" spans="1:12" x14ac:dyDescent="0.4">
      <c r="A32" s="15" t="s">
        <v>249</v>
      </c>
      <c r="B32" s="19">
        <f t="shared" ref="B32:L32" ca="1" si="10">B30+B31</f>
        <v>8.1949999999999995E-2</v>
      </c>
      <c r="C32" s="19">
        <f t="shared" ca="1" si="10"/>
        <v>8.4014999999999992E-2</v>
      </c>
      <c r="D32" s="19">
        <f t="shared" ca="1" si="10"/>
        <v>8.5873499999999992E-2</v>
      </c>
      <c r="E32" s="19">
        <f t="shared" ca="1" si="10"/>
        <v>8.7546149999999989E-2</v>
      </c>
      <c r="F32" s="19">
        <f t="shared" ca="1" si="10"/>
        <v>8.9051534999999987E-2</v>
      </c>
      <c r="G32" s="19">
        <f t="shared" ca="1" si="10"/>
        <v>9.0406381499999994E-2</v>
      </c>
      <c r="H32" s="19">
        <f t="shared" ca="1" si="10"/>
        <v>9.1625743349999997E-2</v>
      </c>
      <c r="I32" s="19">
        <f t="shared" ca="1" si="10"/>
        <v>9.2723169014999995E-2</v>
      </c>
      <c r="J32" s="19">
        <f t="shared" ca="1" si="10"/>
        <v>9.3710852113499998E-2</v>
      </c>
      <c r="K32" s="19">
        <f t="shared" ca="1" si="10"/>
        <v>9.4599766902149995E-2</v>
      </c>
      <c r="L32" s="19">
        <f t="shared" ca="1" si="10"/>
        <v>9.5399790211934996E-2</v>
      </c>
    </row>
    <row r="33" spans="1:12" x14ac:dyDescent="0.4">
      <c r="A33" s="15" t="s">
        <v>385</v>
      </c>
      <c r="B33" s="20"/>
      <c r="C33" s="20">
        <f t="shared" ref="C33:L33" ca="1" si="11">B34*C32</f>
        <v>201.38395499999999</v>
      </c>
      <c r="D33" s="20">
        <f t="shared" ca="1" si="11"/>
        <v>223.13232455969245</v>
      </c>
      <c r="E33" s="20">
        <f t="shared" ca="1" si="11"/>
        <v>247.01288743777471</v>
      </c>
      <c r="F33" s="20">
        <f t="shared" ca="1" si="11"/>
        <v>273.25723251339571</v>
      </c>
      <c r="G33" s="20">
        <f t="shared" ca="1" si="11"/>
        <v>302.11881612569039</v>
      </c>
      <c r="H33" s="20">
        <f t="shared" ca="1" si="11"/>
        <v>333.8755240796412</v>
      </c>
      <c r="I33" s="20">
        <f t="shared" ca="1" si="11"/>
        <v>368.83243583331637</v>
      </c>
      <c r="J33" s="20">
        <f t="shared" ca="1" si="11"/>
        <v>407.32482448851079</v>
      </c>
      <c r="K33" s="20">
        <f t="shared" ca="1" si="11"/>
        <v>449.72142667086996</v>
      </c>
      <c r="L33" s="20">
        <f t="shared" ca="1" si="11"/>
        <v>496.42801764238618</v>
      </c>
    </row>
    <row r="34" spans="1:12" x14ac:dyDescent="0.4">
      <c r="A34" s="15" t="s">
        <v>383</v>
      </c>
      <c r="B34" s="20">
        <f ca="1">$F$8</f>
        <v>2397</v>
      </c>
      <c r="C34" s="20">
        <f t="shared" ref="C34:L34" ca="1" si="12">B34+C33</f>
        <v>2598.3839549999998</v>
      </c>
      <c r="D34" s="20">
        <f t="shared" ca="1" si="12"/>
        <v>2821.5162795596921</v>
      </c>
      <c r="E34" s="20">
        <f t="shared" ca="1" si="12"/>
        <v>3068.5291669974667</v>
      </c>
      <c r="F34" s="20">
        <f t="shared" ca="1" si="12"/>
        <v>3341.7863995108623</v>
      </c>
      <c r="G34" s="20">
        <f t="shared" ca="1" si="12"/>
        <v>3643.9052156365528</v>
      </c>
      <c r="H34" s="20">
        <f t="shared" ca="1" si="12"/>
        <v>3977.7807397161941</v>
      </c>
      <c r="I34" s="20">
        <f t="shared" ca="1" si="12"/>
        <v>4346.6131755495107</v>
      </c>
      <c r="J34" s="20">
        <f t="shared" ca="1" si="12"/>
        <v>4753.9380000380215</v>
      </c>
      <c r="K34" s="20">
        <f t="shared" ca="1" si="12"/>
        <v>5203.6594267088913</v>
      </c>
      <c r="L34" s="20">
        <f t="shared" ca="1" si="12"/>
        <v>5700.0874443512776</v>
      </c>
    </row>
    <row r="35" spans="1:12" x14ac:dyDescent="0.4">
      <c r="A35" s="15" t="s">
        <v>398</v>
      </c>
      <c r="B35" s="20"/>
      <c r="C35" s="20">
        <f t="shared" ref="C35:L35" ca="1" si="13">C33-B34*C30</f>
        <v>-44.548245000000009</v>
      </c>
      <c r="D35" s="20">
        <f t="shared" ca="1" si="13"/>
        <v>-43.461869223307531</v>
      </c>
      <c r="E35" s="20">
        <f t="shared" ca="1" si="13"/>
        <v>-42.474682845049671</v>
      </c>
      <c r="F35" s="20">
        <f t="shared" ca="1" si="13"/>
        <v>-41.573860020544373</v>
      </c>
      <c r="G35" s="20">
        <f t="shared" ca="1" si="13"/>
        <v>-40.748468464124073</v>
      </c>
      <c r="H35" s="20">
        <f t="shared" ca="1" si="13"/>
        <v>-39.989151044669086</v>
      </c>
      <c r="I35" s="20">
        <f t="shared" ca="1" si="13"/>
        <v>-39.287868061565121</v>
      </c>
      <c r="J35" s="20">
        <f t="shared" ca="1" si="13"/>
        <v>-38.637687322868999</v>
      </c>
      <c r="K35" s="20">
        <f t="shared" ca="1" si="13"/>
        <v>-38.032612133031023</v>
      </c>
      <c r="L35" s="20">
        <f t="shared" ca="1" si="13"/>
        <v>-37.467439537946007</v>
      </c>
    </row>
    <row r="36" spans="1:12" x14ac:dyDescent="0.4">
      <c r="A36" s="15" t="s">
        <v>399</v>
      </c>
      <c r="B36" s="62">
        <f ca="1">NPV($B$3,C35:L35)</f>
        <v>-250.64459320036255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2146.3554067996374</v>
      </c>
      <c r="C38" s="63">
        <f ca="1">B38/(1+$B$3)^($H$8/365)</f>
        <v>2417.1327600805098</v>
      </c>
    </row>
    <row r="39" spans="1:12" x14ac:dyDescent="0.4">
      <c r="A39" s="15" t="s">
        <v>363</v>
      </c>
      <c r="B39" s="23">
        <f ca="1">B38*100000000/($B$4-$B$5)</f>
        <v>13414.721292497734</v>
      </c>
      <c r="C39" s="23">
        <f ca="1">B39/(1+$B$3)^($H$8/365)</f>
        <v>15107.079750503186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45657</v>
      </c>
      <c r="C42" s="200">
        <f t="shared" ref="C42:L42" si="14">B42+365</f>
        <v>46022</v>
      </c>
      <c r="D42" s="200">
        <f t="shared" si="14"/>
        <v>46387</v>
      </c>
      <c r="E42" s="200">
        <f t="shared" si="14"/>
        <v>46752</v>
      </c>
      <c r="F42" s="200">
        <f t="shared" si="14"/>
        <v>47117</v>
      </c>
      <c r="G42" s="200">
        <f t="shared" si="14"/>
        <v>47482</v>
      </c>
      <c r="H42" s="200">
        <f t="shared" si="14"/>
        <v>47847</v>
      </c>
      <c r="I42" s="200">
        <f t="shared" si="14"/>
        <v>48212</v>
      </c>
      <c r="J42" s="200">
        <f t="shared" si="14"/>
        <v>48577</v>
      </c>
      <c r="K42" s="200">
        <f t="shared" si="14"/>
        <v>48942</v>
      </c>
      <c r="L42" s="200">
        <f t="shared" si="14"/>
        <v>49307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-2.0650000000000002E-2</v>
      </c>
      <c r="C44" s="19">
        <f t="shared" ref="C44:L44" ca="1" si="16">IF(YEAR(C16)&gt;$J$7,0,B44*$B$41)</f>
        <v>-1.6520000000000003E-2</v>
      </c>
      <c r="D44" s="19">
        <f t="shared" ca="1" si="16"/>
        <v>-1.3216000000000004E-2</v>
      </c>
      <c r="E44" s="19">
        <f t="shared" ca="1" si="16"/>
        <v>-1.0572800000000004E-2</v>
      </c>
      <c r="F44" s="19">
        <f t="shared" ca="1" si="16"/>
        <v>-8.458240000000004E-3</v>
      </c>
      <c r="G44" s="19">
        <f t="shared" ca="1" si="16"/>
        <v>-6.7665920000000036E-3</v>
      </c>
      <c r="H44" s="19">
        <f t="shared" ca="1" si="16"/>
        <v>-5.4132736000000034E-3</v>
      </c>
      <c r="I44" s="19">
        <f t="shared" ca="1" si="16"/>
        <v>-4.330618880000003E-3</v>
      </c>
      <c r="J44" s="19">
        <f t="shared" ca="1" si="16"/>
        <v>-3.4644951040000028E-3</v>
      </c>
      <c r="K44" s="19">
        <f t="shared" ca="1" si="16"/>
        <v>-2.7715960832000023E-3</v>
      </c>
      <c r="L44" s="19">
        <f t="shared" ca="1" si="16"/>
        <v>-2.2172768665600019E-3</v>
      </c>
    </row>
    <row r="45" spans="1:12" x14ac:dyDescent="0.4">
      <c r="A45" s="15" t="s">
        <v>249</v>
      </c>
      <c r="B45" s="19">
        <f t="shared" ref="B45:L45" ca="1" si="17">B43+B44</f>
        <v>8.1949999999999995E-2</v>
      </c>
      <c r="C45" s="19">
        <f t="shared" ca="1" si="17"/>
        <v>8.607999999999999E-2</v>
      </c>
      <c r="D45" s="19">
        <f t="shared" ca="1" si="17"/>
        <v>8.9383999999999991E-2</v>
      </c>
      <c r="E45" s="19">
        <f t="shared" ca="1" si="17"/>
        <v>9.202719999999999E-2</v>
      </c>
      <c r="F45" s="19">
        <f t="shared" ca="1" si="17"/>
        <v>9.4141759999999991E-2</v>
      </c>
      <c r="G45" s="19">
        <f t="shared" ca="1" si="17"/>
        <v>9.5833407999999995E-2</v>
      </c>
      <c r="H45" s="19">
        <f t="shared" ca="1" si="17"/>
        <v>9.7186726399999993E-2</v>
      </c>
      <c r="I45" s="19">
        <f t="shared" ca="1" si="17"/>
        <v>9.8269381119999999E-2</v>
      </c>
      <c r="J45" s="19">
        <f t="shared" ca="1" si="17"/>
        <v>9.9135504895999996E-2</v>
      </c>
      <c r="K45" s="19">
        <f t="shared" ca="1" si="17"/>
        <v>9.9828403916799993E-2</v>
      </c>
      <c r="L45" s="19">
        <f t="shared" ca="1" si="17"/>
        <v>0.10038272313343999</v>
      </c>
    </row>
    <row r="46" spans="1:12" x14ac:dyDescent="0.4">
      <c r="A46" s="15" t="s">
        <v>385</v>
      </c>
      <c r="B46" s="20"/>
      <c r="C46" s="20">
        <f t="shared" ref="C46:L46" ca="1" si="18">B47*C45</f>
        <v>206.33375999999998</v>
      </c>
      <c r="D46" s="20">
        <f t="shared" ca="1" si="18"/>
        <v>232.69638480383998</v>
      </c>
      <c r="E46" s="20">
        <f t="shared" ca="1" si="18"/>
        <v>260.99191334189192</v>
      </c>
      <c r="F46" s="20">
        <f t="shared" ca="1" si="18"/>
        <v>291.55910731266152</v>
      </c>
      <c r="G46" s="20">
        <f t="shared" ca="1" si="18"/>
        <v>324.73928137048972</v>
      </c>
      <c r="H46" s="20">
        <f t="shared" ca="1" si="18"/>
        <v>360.88545830148439</v>
      </c>
      <c r="I46" s="20">
        <f t="shared" ca="1" si="18"/>
        <v>400.36969285261068</v>
      </c>
      <c r="J46" s="20">
        <f t="shared" ca="1" si="18"/>
        <v>443.58931110136365</v>
      </c>
      <c r="K46" s="20">
        <f t="shared" ca="1" si="18"/>
        <v>490.9725530735036</v>
      </c>
      <c r="L46" s="20">
        <f t="shared" ca="1" si="18"/>
        <v>542.98394825450919</v>
      </c>
    </row>
    <row r="47" spans="1:12" x14ac:dyDescent="0.4">
      <c r="A47" s="15" t="s">
        <v>383</v>
      </c>
      <c r="B47" s="20">
        <f ca="1">$F$8</f>
        <v>2397</v>
      </c>
      <c r="C47" s="20">
        <f t="shared" ref="C47:L47" ca="1" si="19">B47+C46</f>
        <v>2603.33376</v>
      </c>
      <c r="D47" s="20">
        <f t="shared" ca="1" si="19"/>
        <v>2836.0301448038399</v>
      </c>
      <c r="E47" s="20">
        <f t="shared" ca="1" si="19"/>
        <v>3097.022058145732</v>
      </c>
      <c r="F47" s="20">
        <f t="shared" ca="1" si="19"/>
        <v>3388.5811654583936</v>
      </c>
      <c r="G47" s="20">
        <f t="shared" ca="1" si="19"/>
        <v>3713.3204468288832</v>
      </c>
      <c r="H47" s="20">
        <f t="shared" ca="1" si="19"/>
        <v>4074.2059051303677</v>
      </c>
      <c r="I47" s="20">
        <f t="shared" ca="1" si="19"/>
        <v>4474.5755979829783</v>
      </c>
      <c r="J47" s="20">
        <f t="shared" ca="1" si="19"/>
        <v>4918.1649090843421</v>
      </c>
      <c r="K47" s="20">
        <f t="shared" ca="1" si="19"/>
        <v>5409.1374621578452</v>
      </c>
      <c r="L47" s="20">
        <f t="shared" ca="1" si="19"/>
        <v>5952.1214104123546</v>
      </c>
    </row>
    <row r="48" spans="1:12" x14ac:dyDescent="0.4">
      <c r="A48" s="15" t="s">
        <v>398</v>
      </c>
      <c r="B48" s="20"/>
      <c r="C48" s="20">
        <f t="shared" ref="C48:L48" ca="1" si="20">C46-B47*C43</f>
        <v>-39.598440000000011</v>
      </c>
      <c r="D48" s="20">
        <f t="shared" ca="1" si="20"/>
        <v>-34.40565897216004</v>
      </c>
      <c r="E48" s="20">
        <f t="shared" ca="1" si="20"/>
        <v>-29.984779514982051</v>
      </c>
      <c r="F48" s="20">
        <f t="shared" ca="1" si="20"/>
        <v>-26.195355853090575</v>
      </c>
      <c r="G48" s="20">
        <f t="shared" ca="1" si="20"/>
        <v>-22.929146205541429</v>
      </c>
      <c r="H48" s="20">
        <f t="shared" ca="1" si="20"/>
        <v>-20.101219543159004</v>
      </c>
      <c r="I48" s="20">
        <f t="shared" ca="1" si="20"/>
        <v>-17.643833013765004</v>
      </c>
      <c r="J48" s="20">
        <f t="shared" ca="1" si="20"/>
        <v>-15.50214525168991</v>
      </c>
      <c r="K48" s="20">
        <f t="shared" ca="1" si="20"/>
        <v>-13.631166598549896</v>
      </c>
      <c r="L48" s="20">
        <f t="shared" ca="1" si="20"/>
        <v>-11.993555362885672</v>
      </c>
    </row>
    <row r="49" spans="1:19" x14ac:dyDescent="0.4">
      <c r="A49" s="15" t="s">
        <v>399</v>
      </c>
      <c r="B49" s="62">
        <f ca="1">NPV($B$3,C48:L48)</f>
        <v>-155.74175687836413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2241.258243121636</v>
      </c>
      <c r="C51" s="63">
        <f ca="1">B51/(1+$B$3)^($H$8/365)</f>
        <v>2524.0082355827249</v>
      </c>
    </row>
    <row r="52" spans="1:19" x14ac:dyDescent="0.4">
      <c r="A52" s="15" t="s">
        <v>363</v>
      </c>
      <c r="B52" s="23">
        <f ca="1">B51*100000000/($B$4-$B$5)</f>
        <v>14007.864019510225</v>
      </c>
      <c r="C52" s="23">
        <f ca="1">B52/(1+$B$3)^($H$8/365)</f>
        <v>15775.05147239203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44196</v>
      </c>
      <c r="C55" s="175">
        <f t="shared" si="22"/>
        <v>44561</v>
      </c>
      <c r="D55" s="175">
        <f t="shared" si="22"/>
        <v>44926</v>
      </c>
      <c r="E55" s="175">
        <f t="shared" si="22"/>
        <v>45291</v>
      </c>
      <c r="F55" s="175">
        <f t="shared" si="22"/>
        <v>45657</v>
      </c>
      <c r="G55" s="175">
        <f t="shared" si="22"/>
        <v>46022</v>
      </c>
      <c r="H55" s="175">
        <f t="shared" si="22"/>
        <v>46387</v>
      </c>
      <c r="I55" s="175">
        <f t="shared" si="22"/>
        <v>46752</v>
      </c>
      <c r="J55" s="180">
        <f t="shared" ref="J55:S55" si="23">C16</f>
        <v>46022</v>
      </c>
      <c r="K55" s="180">
        <f t="shared" si="23"/>
        <v>46387</v>
      </c>
      <c r="L55" s="180">
        <f t="shared" si="23"/>
        <v>46752</v>
      </c>
      <c r="M55" s="180">
        <f t="shared" si="23"/>
        <v>47117</v>
      </c>
      <c r="N55" s="180">
        <f t="shared" si="23"/>
        <v>47482</v>
      </c>
      <c r="O55" s="180">
        <f t="shared" si="23"/>
        <v>47847</v>
      </c>
      <c r="P55" s="180">
        <f t="shared" si="23"/>
        <v>48212</v>
      </c>
      <c r="Q55" s="180">
        <f t="shared" si="23"/>
        <v>48577</v>
      </c>
      <c r="R55" s="180">
        <f t="shared" si="23"/>
        <v>48942</v>
      </c>
      <c r="S55" s="180">
        <f t="shared" si="23"/>
        <v>49307</v>
      </c>
    </row>
    <row r="56" spans="1:19" x14ac:dyDescent="0.4">
      <c r="A56" s="1" t="s">
        <v>368</v>
      </c>
      <c r="B56" s="76">
        <f t="shared" si="22"/>
        <v>89</v>
      </c>
      <c r="C56" s="76">
        <f t="shared" si="22"/>
        <v>123</v>
      </c>
      <c r="D56" s="76">
        <f t="shared" si="22"/>
        <v>240</v>
      </c>
      <c r="E56" s="76">
        <f t="shared" si="22"/>
        <v>175</v>
      </c>
      <c r="F56" s="76">
        <f t="shared" si="22"/>
        <v>145</v>
      </c>
      <c r="G56" s="76">
        <f t="shared" si="22"/>
        <v>0</v>
      </c>
      <c r="H56" s="76">
        <f t="shared" si="22"/>
        <v>0</v>
      </c>
      <c r="I56" s="76">
        <f t="shared" si="22"/>
        <v>0</v>
      </c>
      <c r="J56" s="179">
        <f t="shared" ref="J56:S56" ca="1" si="24">C20</f>
        <v>196.43414999999999</v>
      </c>
      <c r="K56" s="179">
        <f t="shared" ca="1" si="24"/>
        <v>212.53192859249998</v>
      </c>
      <c r="L56" s="179">
        <f t="shared" ca="1" si="24"/>
        <v>229.94892014065533</v>
      </c>
      <c r="M56" s="179">
        <f t="shared" ca="1" si="24"/>
        <v>248.79323414618204</v>
      </c>
      <c r="N56" s="179">
        <f t="shared" ca="1" si="24"/>
        <v>269.18183968446169</v>
      </c>
      <c r="O56" s="179">
        <f t="shared" ca="1" si="24"/>
        <v>291.24129144660327</v>
      </c>
      <c r="P56" s="179">
        <f t="shared" ca="1" si="24"/>
        <v>315.1085152806524</v>
      </c>
      <c r="Q56" s="179">
        <f t="shared" ca="1" si="24"/>
        <v>340.93165810790191</v>
      </c>
      <c r="R56" s="179">
        <f t="shared" ca="1" si="24"/>
        <v>368.87100748984443</v>
      </c>
      <c r="S56" s="179">
        <f t="shared" ca="1" si="24"/>
        <v>399.09998655363722</v>
      </c>
    </row>
    <row r="57" spans="1:19" x14ac:dyDescent="0.4">
      <c r="A57" s="1" t="s">
        <v>403</v>
      </c>
      <c r="B57" s="76">
        <f t="shared" ref="B57:I57" si="25">E5</f>
        <v>89</v>
      </c>
      <c r="C57" s="76">
        <f t="shared" si="25"/>
        <v>123</v>
      </c>
      <c r="D57" s="76">
        <f t="shared" si="25"/>
        <v>240</v>
      </c>
      <c r="E57" s="76">
        <f t="shared" si="25"/>
        <v>175</v>
      </c>
      <c r="F57" s="76">
        <f t="shared" si="25"/>
        <v>145</v>
      </c>
      <c r="G57" s="76">
        <f t="shared" si="25"/>
        <v>0</v>
      </c>
      <c r="H57" s="76">
        <f t="shared" si="25"/>
        <v>0</v>
      </c>
      <c r="I57" s="76">
        <f t="shared" si="25"/>
        <v>0</v>
      </c>
      <c r="J57" s="179">
        <f t="shared" ref="J57:S57" ca="1" si="26">C33</f>
        <v>201.38395499999999</v>
      </c>
      <c r="K57" s="179">
        <f t="shared" ca="1" si="26"/>
        <v>223.13232455969245</v>
      </c>
      <c r="L57" s="179">
        <f t="shared" ca="1" si="26"/>
        <v>247.01288743777471</v>
      </c>
      <c r="M57" s="179">
        <f t="shared" ca="1" si="26"/>
        <v>273.25723251339571</v>
      </c>
      <c r="N57" s="179">
        <f t="shared" ca="1" si="26"/>
        <v>302.11881612569039</v>
      </c>
      <c r="O57" s="179">
        <f t="shared" ca="1" si="26"/>
        <v>333.8755240796412</v>
      </c>
      <c r="P57" s="179">
        <f t="shared" ca="1" si="26"/>
        <v>368.83243583331637</v>
      </c>
      <c r="Q57" s="179">
        <f t="shared" ca="1" si="26"/>
        <v>407.32482448851079</v>
      </c>
      <c r="R57" s="179">
        <f t="shared" ca="1" si="26"/>
        <v>449.72142667086996</v>
      </c>
      <c r="S57" s="179">
        <f t="shared" ca="1" si="26"/>
        <v>496.42801764238618</v>
      </c>
    </row>
    <row r="58" spans="1:19" x14ac:dyDescent="0.4">
      <c r="A58" s="1" t="s">
        <v>404</v>
      </c>
      <c r="B58" s="76">
        <f t="shared" ref="B58:I58" si="27">E5</f>
        <v>89</v>
      </c>
      <c r="C58" s="76">
        <f t="shared" si="27"/>
        <v>123</v>
      </c>
      <c r="D58" s="76">
        <f t="shared" si="27"/>
        <v>240</v>
      </c>
      <c r="E58" s="76">
        <f t="shared" si="27"/>
        <v>175</v>
      </c>
      <c r="F58" s="76">
        <f t="shared" si="27"/>
        <v>145</v>
      </c>
      <c r="G58" s="76">
        <f t="shared" si="27"/>
        <v>0</v>
      </c>
      <c r="H58" s="76">
        <f t="shared" si="27"/>
        <v>0</v>
      </c>
      <c r="I58" s="76">
        <f t="shared" si="27"/>
        <v>0</v>
      </c>
      <c r="J58" s="179">
        <f t="shared" ref="J58:S58" ca="1" si="28">C46</f>
        <v>206.33375999999998</v>
      </c>
      <c r="K58" s="179">
        <f t="shared" ca="1" si="28"/>
        <v>232.69638480383998</v>
      </c>
      <c r="L58" s="179">
        <f t="shared" ca="1" si="28"/>
        <v>260.99191334189192</v>
      </c>
      <c r="M58" s="179">
        <f t="shared" ca="1" si="28"/>
        <v>291.55910731266152</v>
      </c>
      <c r="N58" s="179">
        <f t="shared" ca="1" si="28"/>
        <v>324.73928137048972</v>
      </c>
      <c r="O58" s="179">
        <f t="shared" ca="1" si="28"/>
        <v>360.88545830148439</v>
      </c>
      <c r="P58" s="179">
        <f t="shared" ca="1" si="28"/>
        <v>400.36969285261068</v>
      </c>
      <c r="Q58" s="179">
        <f t="shared" ca="1" si="28"/>
        <v>443.58931110136365</v>
      </c>
      <c r="R58" s="179">
        <f t="shared" ca="1" si="28"/>
        <v>490.9725530735036</v>
      </c>
      <c r="S58" s="179">
        <f t="shared" ca="1" si="28"/>
        <v>542.98394825450919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44196</v>
      </c>
      <c r="C61" s="175">
        <f t="shared" si="29"/>
        <v>44561</v>
      </c>
      <c r="D61" s="175">
        <f t="shared" si="29"/>
        <v>44926</v>
      </c>
      <c r="E61" s="175">
        <f t="shared" si="29"/>
        <v>45291</v>
      </c>
      <c r="F61" s="175">
        <f t="shared" si="29"/>
        <v>45657</v>
      </c>
      <c r="G61" s="175">
        <f t="shared" si="29"/>
        <v>46022</v>
      </c>
      <c r="H61" s="175">
        <f t="shared" si="29"/>
        <v>46387</v>
      </c>
      <c r="I61" s="175">
        <f t="shared" si="29"/>
        <v>46752</v>
      </c>
      <c r="J61" s="175">
        <f t="shared" si="29"/>
        <v>47117</v>
      </c>
      <c r="K61" s="175">
        <f t="shared" si="29"/>
        <v>47482</v>
      </c>
      <c r="L61" s="175">
        <f t="shared" si="29"/>
        <v>47847</v>
      </c>
      <c r="M61" s="175">
        <f t="shared" si="29"/>
        <v>48212</v>
      </c>
      <c r="N61" s="175">
        <f t="shared" si="29"/>
        <v>48577</v>
      </c>
      <c r="O61" s="175">
        <f t="shared" si="29"/>
        <v>48942</v>
      </c>
      <c r="P61" s="175">
        <f t="shared" si="29"/>
        <v>49307</v>
      </c>
    </row>
    <row r="62" spans="1:19" x14ac:dyDescent="0.4">
      <c r="A62" s="1" t="s">
        <v>368</v>
      </c>
      <c r="B62" s="76">
        <f t="shared" ref="B62:P62" si="30">HLOOKUP(B$60,$B$54:$S$58,3,FALSE)</f>
        <v>89</v>
      </c>
      <c r="C62" s="76">
        <f t="shared" si="30"/>
        <v>123</v>
      </c>
      <c r="D62" s="76">
        <f t="shared" si="30"/>
        <v>240</v>
      </c>
      <c r="E62" s="76">
        <f t="shared" si="30"/>
        <v>175</v>
      </c>
      <c r="F62" s="76">
        <f t="shared" si="30"/>
        <v>145</v>
      </c>
      <c r="G62" s="76">
        <f t="shared" ca="1" si="30"/>
        <v>196.43414999999999</v>
      </c>
      <c r="H62" s="76">
        <f t="shared" ca="1" si="30"/>
        <v>212.53192859249998</v>
      </c>
      <c r="I62" s="76">
        <f t="shared" ca="1" si="30"/>
        <v>229.94892014065533</v>
      </c>
      <c r="J62" s="76">
        <f t="shared" ca="1" si="30"/>
        <v>248.79323414618204</v>
      </c>
      <c r="K62" s="76">
        <f t="shared" ca="1" si="30"/>
        <v>269.18183968446169</v>
      </c>
      <c r="L62" s="76">
        <f t="shared" ca="1" si="30"/>
        <v>291.24129144660327</v>
      </c>
      <c r="M62" s="76">
        <f t="shared" ca="1" si="30"/>
        <v>315.1085152806524</v>
      </c>
      <c r="N62" s="76">
        <f t="shared" ca="1" si="30"/>
        <v>340.93165810790191</v>
      </c>
      <c r="O62" s="76">
        <f t="shared" ca="1" si="30"/>
        <v>368.87100748984443</v>
      </c>
      <c r="P62" s="76">
        <f t="shared" ca="1" si="30"/>
        <v>399.09998655363722</v>
      </c>
    </row>
    <row r="63" spans="1:19" x14ac:dyDescent="0.4">
      <c r="A63" s="1" t="s">
        <v>403</v>
      </c>
      <c r="B63" s="76">
        <f t="shared" ref="B63:P63" si="31">HLOOKUP(B$60,$B$54:$S$58,4,FALSE)</f>
        <v>89</v>
      </c>
      <c r="C63" s="76">
        <f t="shared" si="31"/>
        <v>123</v>
      </c>
      <c r="D63" s="76">
        <f t="shared" si="31"/>
        <v>240</v>
      </c>
      <c r="E63" s="76">
        <f t="shared" si="31"/>
        <v>175</v>
      </c>
      <c r="F63" s="76">
        <f t="shared" si="31"/>
        <v>145</v>
      </c>
      <c r="G63" s="76">
        <f t="shared" ca="1" si="31"/>
        <v>201.38395499999999</v>
      </c>
      <c r="H63" s="76">
        <f t="shared" ca="1" si="31"/>
        <v>223.13232455969245</v>
      </c>
      <c r="I63" s="76">
        <f t="shared" ca="1" si="31"/>
        <v>247.01288743777471</v>
      </c>
      <c r="J63" s="76">
        <f t="shared" ca="1" si="31"/>
        <v>273.25723251339571</v>
      </c>
      <c r="K63" s="76">
        <f t="shared" ca="1" si="31"/>
        <v>302.11881612569039</v>
      </c>
      <c r="L63" s="76">
        <f t="shared" ca="1" si="31"/>
        <v>333.8755240796412</v>
      </c>
      <c r="M63" s="76">
        <f t="shared" ca="1" si="31"/>
        <v>368.83243583331637</v>
      </c>
      <c r="N63" s="76">
        <f t="shared" ca="1" si="31"/>
        <v>407.32482448851079</v>
      </c>
      <c r="O63" s="76">
        <f t="shared" ca="1" si="31"/>
        <v>449.72142667086996</v>
      </c>
      <c r="P63" s="76">
        <f t="shared" ca="1" si="31"/>
        <v>496.42801764238618</v>
      </c>
    </row>
    <row r="64" spans="1:19" x14ac:dyDescent="0.4">
      <c r="A64" s="1" t="s">
        <v>404</v>
      </c>
      <c r="B64" s="76">
        <f t="shared" ref="B64:P64" si="32">HLOOKUP(B$60,$B$54:$S$58,5,FALSE)</f>
        <v>89</v>
      </c>
      <c r="C64" s="76">
        <f t="shared" si="32"/>
        <v>123</v>
      </c>
      <c r="D64" s="76">
        <f t="shared" si="32"/>
        <v>240</v>
      </c>
      <c r="E64" s="76">
        <f t="shared" si="32"/>
        <v>175</v>
      </c>
      <c r="F64" s="76">
        <f t="shared" si="32"/>
        <v>145</v>
      </c>
      <c r="G64" s="76">
        <f t="shared" ca="1" si="32"/>
        <v>206.33375999999998</v>
      </c>
      <c r="H64" s="76">
        <f t="shared" ca="1" si="32"/>
        <v>232.69638480383998</v>
      </c>
      <c r="I64" s="76">
        <f t="shared" ca="1" si="32"/>
        <v>260.99191334189192</v>
      </c>
      <c r="J64" s="76">
        <f t="shared" ca="1" si="32"/>
        <v>291.55910731266152</v>
      </c>
      <c r="K64" s="76">
        <f t="shared" ca="1" si="32"/>
        <v>324.73928137048972</v>
      </c>
      <c r="L64" s="76">
        <f t="shared" ca="1" si="32"/>
        <v>360.88545830148439</v>
      </c>
      <c r="M64" s="76">
        <f t="shared" ca="1" si="32"/>
        <v>400.36969285261068</v>
      </c>
      <c r="N64" s="76">
        <f t="shared" ca="1" si="32"/>
        <v>443.58931110136365</v>
      </c>
      <c r="O64" s="76">
        <f t="shared" ca="1" si="32"/>
        <v>490.9725530735036</v>
      </c>
      <c r="P64" s="76">
        <f t="shared" ca="1" si="32"/>
        <v>542.98394825450919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2026-03-20T06:13:50Z</dcterms:modified>
</cp:coreProperties>
</file>