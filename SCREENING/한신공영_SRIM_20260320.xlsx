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BE7184F5-A9AD-490F-94A8-BBE628D6DCF4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B105" i="6"/>
  <c r="B101" i="6"/>
  <c r="C101" i="6" s="1"/>
  <c r="B88" i="6"/>
  <c r="A79" i="6"/>
  <c r="H78" i="6"/>
  <c r="E76" i="6"/>
  <c r="D76" i="6"/>
  <c r="C76" i="6"/>
  <c r="C72" i="6" s="1"/>
  <c r="B76" i="6"/>
  <c r="B72" i="6" s="1"/>
  <c r="G75" i="6"/>
  <c r="L74" i="6"/>
  <c r="G74" i="6"/>
  <c r="G76" i="6" s="1"/>
  <c r="L73" i="6"/>
  <c r="E73" i="6"/>
  <c r="L72" i="6"/>
  <c r="E72" i="6"/>
  <c r="D72" i="6"/>
  <c r="L71" i="6"/>
  <c r="L70" i="6" s="1"/>
  <c r="C78" i="6" s="1"/>
  <c r="E71" i="6"/>
  <c r="F71" i="6" s="1"/>
  <c r="D70" i="6"/>
  <c r="D77" i="6" s="1"/>
  <c r="B66" i="6"/>
  <c r="B55" i="6"/>
  <c r="B51" i="6"/>
  <c r="B43" i="6"/>
  <c r="B39" i="6"/>
  <c r="B31" i="6"/>
  <c r="B27" i="6"/>
  <c r="G13" i="6"/>
  <c r="B8" i="6"/>
  <c r="B11" i="6" s="1"/>
  <c r="C14" i="6" s="1"/>
  <c r="C63" i="5"/>
  <c r="B63" i="5"/>
  <c r="D57" i="5"/>
  <c r="D63" i="5" s="1"/>
  <c r="K55" i="5"/>
  <c r="J55" i="5"/>
  <c r="D55" i="5"/>
  <c r="D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D16" i="5" s="1"/>
  <c r="E16" i="5" s="1"/>
  <c r="F16" i="5" s="1"/>
  <c r="H7" i="5"/>
  <c r="H8" i="5" s="1"/>
  <c r="K5" i="5"/>
  <c r="H56" i="5" s="1"/>
  <c r="J5" i="5"/>
  <c r="G57" i="5" s="1"/>
  <c r="I5" i="5"/>
  <c r="F58" i="5" s="1"/>
  <c r="F64" i="5" s="1"/>
  <c r="H5" i="5"/>
  <c r="G5" i="5"/>
  <c r="D56" i="5" s="1"/>
  <c r="D62" i="5" s="1"/>
  <c r="F5" i="5"/>
  <c r="C57" i="5" s="1"/>
  <c r="E5" i="5"/>
  <c r="B57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E39" i="3" s="1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G39" i="3" s="1"/>
  <c r="F34" i="3"/>
  <c r="F39" i="3" s="1"/>
  <c r="E34" i="3"/>
  <c r="D34" i="3"/>
  <c r="C34" i="3"/>
  <c r="C33" i="3"/>
  <c r="D24" i="3"/>
  <c r="C24" i="3"/>
  <c r="D23" i="3"/>
  <c r="C23" i="3"/>
  <c r="G22" i="3"/>
  <c r="F22" i="3"/>
  <c r="E22" i="3"/>
  <c r="D22" i="3"/>
  <c r="C22" i="3"/>
  <c r="G21" i="3"/>
  <c r="F21" i="3"/>
  <c r="F33" i="3" s="1"/>
  <c r="E21" i="3"/>
  <c r="E33" i="3" s="1"/>
  <c r="D21" i="3"/>
  <c r="D33" i="3" s="1"/>
  <c r="C21" i="3"/>
  <c r="I20" i="3"/>
  <c r="E20" i="3"/>
  <c r="C17" i="3"/>
  <c r="AF10" i="3"/>
  <c r="B116" i="2"/>
  <c r="A12" i="4"/>
  <c r="I16" i="4"/>
  <c r="B4" i="4"/>
  <c r="I21" i="4"/>
  <c r="A13" i="4"/>
  <c r="I18" i="4"/>
  <c r="G34" i="4"/>
  <c r="I5" i="4"/>
  <c r="A11" i="4"/>
  <c r="I62" i="4"/>
  <c r="I17" i="4"/>
  <c r="D58" i="4"/>
  <c r="A52" i="4"/>
  <c r="F50" i="4"/>
  <c r="I8" i="4"/>
  <c r="B54" i="4"/>
  <c r="I7" i="4"/>
  <c r="I6" i="4"/>
  <c r="C54" i="4"/>
  <c r="A62" i="4"/>
  <c r="I19" i="4"/>
  <c r="I20" i="4"/>
  <c r="F56" i="4"/>
  <c r="B58" i="5" l="1"/>
  <c r="B64" i="5" s="1"/>
  <c r="C58" i="5"/>
  <c r="C64" i="5" s="1"/>
  <c r="D58" i="5"/>
  <c r="D64" i="5" s="1"/>
  <c r="H58" i="5"/>
  <c r="H57" i="5"/>
  <c r="B56" i="5"/>
  <c r="B62" i="5" s="1"/>
  <c r="C56" i="5"/>
  <c r="C62" i="5" s="1"/>
  <c r="B14" i="6"/>
  <c r="F56" i="5"/>
  <c r="F62" i="5" s="1"/>
  <c r="B20" i="4"/>
  <c r="B19" i="4"/>
  <c r="B6" i="4"/>
  <c r="C6" i="3" s="1"/>
  <c r="C7" i="4"/>
  <c r="E5" i="3" s="1"/>
  <c r="B7" i="4"/>
  <c r="B8" i="4"/>
  <c r="M4" i="5"/>
  <c r="H21" i="3"/>
  <c r="K50" i="4"/>
  <c r="J21" i="3" s="1"/>
  <c r="B17" i="4"/>
  <c r="B9" i="3"/>
  <c r="B5" i="4"/>
  <c r="C5" i="3" s="1"/>
  <c r="C27" i="3" s="1"/>
  <c r="B18" i="4"/>
  <c r="B11" i="3"/>
  <c r="B21" i="4"/>
  <c r="C4" i="3"/>
  <c r="B16" i="4"/>
  <c r="B10" i="3"/>
  <c r="B115" i="6"/>
  <c r="B102" i="6"/>
  <c r="F79" i="6"/>
  <c r="E23" i="3"/>
  <c r="L4" i="5"/>
  <c r="I55" i="5" s="1"/>
  <c r="I54" i="5" s="1"/>
  <c r="M55" i="5"/>
  <c r="G16" i="5"/>
  <c r="B16" i="6"/>
  <c r="C16" i="6" s="1"/>
  <c r="B15" i="6"/>
  <c r="C15" i="6" s="1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C39" i="6"/>
  <c r="G33" i="3"/>
  <c r="K21" i="3"/>
  <c r="E56" i="5"/>
  <c r="E62" i="5" s="1"/>
  <c r="E58" i="5"/>
  <c r="E64" i="5" s="1"/>
  <c r="E57" i="5"/>
  <c r="E63" i="5" s="1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1" i="6"/>
  <c r="C70" i="6"/>
  <c r="B70" i="6" s="1"/>
  <c r="G73" i="6"/>
  <c r="D73" i="6"/>
  <c r="C77" i="6"/>
  <c r="B77" i="6"/>
  <c r="C73" i="6"/>
  <c r="E77" i="6"/>
  <c r="B73" i="6"/>
  <c r="B43" i="5"/>
  <c r="B30" i="5"/>
  <c r="B17" i="5"/>
  <c r="C27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L55" i="5"/>
  <c r="F57" i="5"/>
  <c r="F63" i="5" s="1"/>
  <c r="E114" i="6"/>
  <c r="D101" i="6"/>
  <c r="D39" i="3"/>
  <c r="G58" i="5"/>
  <c r="G56" i="5"/>
  <c r="C88" i="6"/>
  <c r="C39" i="3"/>
  <c r="A76" i="4"/>
  <c r="D68" i="4"/>
  <c r="B72" i="4"/>
  <c r="E68" i="4"/>
  <c r="C58" i="4"/>
  <c r="I40" i="4"/>
  <c r="B59" i="4"/>
  <c r="B39" i="4"/>
  <c r="I32" i="4"/>
  <c r="G57" i="4"/>
  <c r="A36" i="4"/>
  <c r="A32" i="4"/>
  <c r="G51" i="4"/>
  <c r="A58" i="4"/>
  <c r="E58" i="4"/>
  <c r="C69" i="4"/>
  <c r="B74" i="4"/>
  <c r="F68" i="4"/>
  <c r="D51" i="4"/>
  <c r="F62" i="4"/>
  <c r="B52" i="4"/>
  <c r="G58" i="4"/>
  <c r="A37" i="4"/>
  <c r="A40" i="4"/>
  <c r="I31" i="4"/>
  <c r="A35" i="4"/>
  <c r="F74" i="4"/>
  <c r="C75" i="4"/>
  <c r="D76" i="4"/>
  <c r="A41" i="4"/>
  <c r="C59" i="4"/>
  <c r="C50" i="4"/>
  <c r="B56" i="4"/>
  <c r="G52" i="4"/>
  <c r="G32" i="4"/>
  <c r="H39" i="4"/>
  <c r="G59" i="4"/>
  <c r="B71" i="4"/>
  <c r="D74" i="4"/>
  <c r="I75" i="4"/>
  <c r="E74" i="4"/>
  <c r="C76" i="4"/>
  <c r="E56" i="4"/>
  <c r="H37" i="4"/>
  <c r="D57" i="4"/>
  <c r="I34" i="4"/>
  <c r="H62" i="4"/>
  <c r="B55" i="4"/>
  <c r="H61" i="4"/>
  <c r="D61" i="4"/>
  <c r="A38" i="4"/>
  <c r="H71" i="4"/>
  <c r="H58" i="4"/>
  <c r="C68" i="4"/>
  <c r="C55" i="4"/>
  <c r="B50" i="4"/>
  <c r="H76" i="4"/>
  <c r="D70" i="4"/>
  <c r="I38" i="4"/>
  <c r="H69" i="4"/>
  <c r="G72" i="4"/>
  <c r="E73" i="4"/>
  <c r="E70" i="4"/>
  <c r="I71" i="4"/>
  <c r="H54" i="4"/>
  <c r="A33" i="4"/>
  <c r="G55" i="4"/>
  <c r="I29" i="4"/>
  <c r="D60" i="4"/>
  <c r="F52" i="4"/>
  <c r="I57" i="4"/>
  <c r="I56" i="4"/>
  <c r="D55" i="4"/>
  <c r="I70" i="4"/>
  <c r="A71" i="4"/>
  <c r="F69" i="4"/>
  <c r="F76" i="4"/>
  <c r="A53" i="4"/>
  <c r="A27" i="4"/>
  <c r="I53" i="4"/>
  <c r="C61" i="4"/>
  <c r="H57" i="4"/>
  <c r="A43" i="4"/>
  <c r="H53" i="4"/>
  <c r="C53" i="4"/>
  <c r="E51" i="4"/>
  <c r="D75" i="4"/>
  <c r="C74" i="4"/>
  <c r="H29" i="4"/>
  <c r="F60" i="4"/>
  <c r="I72" i="4"/>
  <c r="B75" i="4"/>
  <c r="F72" i="4"/>
  <c r="H72" i="4"/>
  <c r="C70" i="4"/>
  <c r="A72" i="4"/>
  <c r="I37" i="4"/>
  <c r="E57" i="4"/>
  <c r="D39" i="4"/>
  <c r="F53" i="4"/>
  <c r="I43" i="4"/>
  <c r="D62" i="4"/>
  <c r="H56" i="4"/>
  <c r="A61" i="4"/>
  <c r="H51" i="4"/>
  <c r="I41" i="4"/>
  <c r="F75" i="4"/>
  <c r="D73" i="4"/>
  <c r="H70" i="4"/>
  <c r="B70" i="4"/>
  <c r="E69" i="4"/>
  <c r="B68" i="4"/>
  <c r="G33" i="4"/>
  <c r="H55" i="4"/>
  <c r="G35" i="4"/>
  <c r="B51" i="4"/>
  <c r="G37" i="4"/>
  <c r="B60" i="4"/>
  <c r="G39" i="4"/>
  <c r="B53" i="4"/>
  <c r="G38" i="4"/>
  <c r="A59" i="4"/>
  <c r="E50" i="4"/>
  <c r="G71" i="4"/>
  <c r="B69" i="4"/>
  <c r="G74" i="4"/>
  <c r="I73" i="4"/>
  <c r="G70" i="4"/>
  <c r="I27" i="4"/>
  <c r="A54" i="4"/>
  <c r="I30" i="4"/>
  <c r="C39" i="4"/>
  <c r="A30" i="4"/>
  <c r="F57" i="4"/>
  <c r="H60" i="4"/>
  <c r="I28" i="4"/>
  <c r="F59" i="4"/>
  <c r="E75" i="4"/>
  <c r="I61" i="4"/>
  <c r="A68" i="4"/>
  <c r="H75" i="4"/>
  <c r="G69" i="4"/>
  <c r="H73" i="4"/>
  <c r="F61" i="4"/>
  <c r="C52" i="4"/>
  <c r="C62" i="4"/>
  <c r="H33" i="4"/>
  <c r="B62" i="4"/>
  <c r="A55" i="4"/>
  <c r="G56" i="4"/>
  <c r="H52" i="4"/>
  <c r="E59" i="4"/>
  <c r="G76" i="4"/>
  <c r="I74" i="4"/>
  <c r="C84" i="4"/>
  <c r="A75" i="4"/>
  <c r="D72" i="4"/>
  <c r="E72" i="4"/>
  <c r="I76" i="4"/>
  <c r="E54" i="4"/>
  <c r="E71" i="4"/>
  <c r="B58" i="4"/>
  <c r="E39" i="4"/>
  <c r="I58" i="4"/>
  <c r="B61" i="4"/>
  <c r="I54" i="4"/>
  <c r="I42" i="4"/>
  <c r="A28" i="4"/>
  <c r="C56" i="4"/>
  <c r="F51" i="4"/>
  <c r="D84" i="4"/>
  <c r="C73" i="4"/>
  <c r="F70" i="4"/>
  <c r="A70" i="4"/>
  <c r="A73" i="4"/>
  <c r="C71" i="4"/>
  <c r="D56" i="4"/>
  <c r="H35" i="4"/>
  <c r="B57" i="4"/>
  <c r="F58" i="4"/>
  <c r="A42" i="4"/>
  <c r="I36" i="4"/>
  <c r="E61" i="4"/>
  <c r="I51" i="4"/>
  <c r="I35" i="4"/>
  <c r="F71" i="4"/>
  <c r="B76" i="4"/>
  <c r="H74" i="4"/>
  <c r="A69" i="4"/>
  <c r="D69" i="4"/>
  <c r="G54" i="4"/>
  <c r="A31" i="4"/>
  <c r="E55" i="4"/>
  <c r="A29" i="4"/>
  <c r="G29" i="4"/>
  <c r="H38" i="4"/>
  <c r="D59" i="4"/>
  <c r="E76" i="4"/>
  <c r="G61" i="4"/>
  <c r="G53" i="4"/>
  <c r="G62" i="4"/>
  <c r="D53" i="4"/>
  <c r="D54" i="4"/>
  <c r="A60" i="4"/>
  <c r="G75" i="4"/>
  <c r="D86" i="4"/>
  <c r="A74" i="4"/>
  <c r="G73" i="4"/>
  <c r="I33" i="4"/>
  <c r="I59" i="4"/>
  <c r="D50" i="4"/>
  <c r="G60" i="4"/>
  <c r="E53" i="4"/>
  <c r="C57" i="4"/>
  <c r="E52" i="4"/>
  <c r="F39" i="4"/>
  <c r="E60" i="4"/>
  <c r="F55" i="4"/>
  <c r="H32" i="4"/>
  <c r="A56" i="4"/>
  <c r="A57" i="4"/>
  <c r="I69" i="4"/>
  <c r="F73" i="4"/>
  <c r="C72" i="4"/>
  <c r="F54" i="4"/>
  <c r="I52" i="4"/>
  <c r="E62" i="4"/>
  <c r="A51" i="4"/>
  <c r="H59" i="4"/>
  <c r="I24" i="4"/>
  <c r="B73" i="4"/>
  <c r="I66" i="4"/>
  <c r="D71" i="4"/>
  <c r="C51" i="4"/>
  <c r="I60" i="4"/>
  <c r="A44" i="4"/>
  <c r="A39" i="4"/>
  <c r="C60" i="4"/>
  <c r="D52" i="4"/>
  <c r="I39" i="4"/>
  <c r="I55" i="4"/>
  <c r="A34" i="4"/>
  <c r="H34" i="4"/>
  <c r="B29" i="6" l="1"/>
  <c r="B90" i="6"/>
  <c r="B36" i="3"/>
  <c r="K72" i="4"/>
  <c r="G36" i="3"/>
  <c r="E43" i="3"/>
  <c r="L3" i="5"/>
  <c r="B38" i="3"/>
  <c r="E41" i="3"/>
  <c r="F36" i="3"/>
  <c r="D41" i="3"/>
  <c r="D36" i="3"/>
  <c r="K69" i="4"/>
  <c r="H36" i="3"/>
  <c r="K60" i="4"/>
  <c r="K51" i="4"/>
  <c r="E36" i="3"/>
  <c r="K75" i="4"/>
  <c r="K55" i="4"/>
  <c r="B37" i="3"/>
  <c r="L5" i="5"/>
  <c r="K68" i="4"/>
  <c r="C36" i="3"/>
  <c r="E24" i="3"/>
  <c r="L2" i="5"/>
  <c r="C90" i="6"/>
  <c r="D88" i="6"/>
  <c r="C43" i="5"/>
  <c r="C41" i="6"/>
  <c r="C42" i="6" s="1"/>
  <c r="D39" i="6"/>
  <c r="H35" i="3"/>
  <c r="F114" i="6"/>
  <c r="C30" i="5"/>
  <c r="N21" i="3"/>
  <c r="L21" i="3"/>
  <c r="M21" i="3" s="1"/>
  <c r="B41" i="6"/>
  <c r="B4" i="5"/>
  <c r="E4" i="3"/>
  <c r="E101" i="6"/>
  <c r="J54" i="5"/>
  <c r="C102" i="6"/>
  <c r="B103" i="6"/>
  <c r="D27" i="6"/>
  <c r="C29" i="6"/>
  <c r="C30" i="6" s="1"/>
  <c r="D51" i="6"/>
  <c r="C53" i="6"/>
  <c r="C54" i="6" s="1"/>
  <c r="C115" i="6"/>
  <c r="B116" i="6"/>
  <c r="N55" i="5"/>
  <c r="H16" i="5"/>
  <c r="B92" i="6"/>
  <c r="F78" i="6"/>
  <c r="H79" i="6" s="1"/>
  <c r="E6" i="3"/>
  <c r="B5" i="5"/>
  <c r="C17" i="5"/>
  <c r="K61" i="4" l="1"/>
  <c r="C32" i="6"/>
  <c r="C31" i="6"/>
  <c r="M5" i="5"/>
  <c r="K78" i="4"/>
  <c r="M3" i="5"/>
  <c r="D41" i="6"/>
  <c r="E39" i="6"/>
  <c r="C91" i="6"/>
  <c r="C93" i="6" s="1"/>
  <c r="O55" i="5"/>
  <c r="I16" i="5"/>
  <c r="E88" i="6"/>
  <c r="D90" i="6"/>
  <c r="AF7" i="3"/>
  <c r="D115" i="6"/>
  <c r="C116" i="6"/>
  <c r="C117" i="6" s="1"/>
  <c r="G114" i="6"/>
  <c r="D29" i="6"/>
  <c r="E27" i="6"/>
  <c r="D102" i="6"/>
  <c r="C103" i="6"/>
  <c r="C104" i="6" s="1"/>
  <c r="C44" i="6"/>
  <c r="C43" i="6"/>
  <c r="K54" i="5"/>
  <c r="H61" i="5"/>
  <c r="G61" i="5"/>
  <c r="D43" i="5"/>
  <c r="F101" i="6"/>
  <c r="D17" i="5"/>
  <c r="K76" i="4"/>
  <c r="C56" i="6"/>
  <c r="C55" i="6"/>
  <c r="D53" i="6"/>
  <c r="E51" i="6"/>
  <c r="D30" i="5"/>
  <c r="I58" i="5"/>
  <c r="I57" i="5"/>
  <c r="I56" i="5"/>
  <c r="E43" i="5" l="1"/>
  <c r="D54" i="6"/>
  <c r="D56" i="6" s="1"/>
  <c r="D55" i="6"/>
  <c r="D42" i="6"/>
  <c r="D44" i="6" s="1"/>
  <c r="C106" i="6"/>
  <c r="C105" i="6"/>
  <c r="E102" i="6"/>
  <c r="D103" i="6"/>
  <c r="E17" i="5"/>
  <c r="C92" i="6"/>
  <c r="F39" i="6"/>
  <c r="E41" i="6"/>
  <c r="P55" i="5"/>
  <c r="J16" i="5"/>
  <c r="F27" i="6"/>
  <c r="E29" i="6"/>
  <c r="H114" i="6"/>
  <c r="G101" i="6"/>
  <c r="C119" i="6"/>
  <c r="C118" i="6"/>
  <c r="E115" i="6"/>
  <c r="D116" i="6"/>
  <c r="H22" i="3"/>
  <c r="M2" i="5"/>
  <c r="E30" i="5"/>
  <c r="F51" i="6"/>
  <c r="E53" i="6"/>
  <c r="F88" i="6"/>
  <c r="E90" i="6"/>
  <c r="D30" i="6"/>
  <c r="D32" i="6" s="1"/>
  <c r="D31" i="6"/>
  <c r="L54" i="5"/>
  <c r="D43" i="6" l="1"/>
  <c r="E42" i="6"/>
  <c r="E44" i="6" s="1"/>
  <c r="K16" i="5"/>
  <c r="Q55" i="5"/>
  <c r="M54" i="5"/>
  <c r="J61" i="5" s="1"/>
  <c r="I61" i="5"/>
  <c r="G39" i="6"/>
  <c r="F41" i="6"/>
  <c r="E30" i="6"/>
  <c r="E32" i="6" s="1"/>
  <c r="E31" i="6"/>
  <c r="H101" i="6"/>
  <c r="D91" i="6"/>
  <c r="D93" i="6" s="1"/>
  <c r="I114" i="6"/>
  <c r="F17" i="5"/>
  <c r="G88" i="6"/>
  <c r="F90" i="6"/>
  <c r="F102" i="6"/>
  <c r="E103" i="6"/>
  <c r="G51" i="6"/>
  <c r="F53" i="6"/>
  <c r="F29" i="6"/>
  <c r="G27" i="6"/>
  <c r="D104" i="6"/>
  <c r="D106" i="6" s="1"/>
  <c r="F30" i="5"/>
  <c r="I21" i="3"/>
  <c r="G24" i="3" s="1"/>
  <c r="AF6" i="3" s="1"/>
  <c r="J22" i="3"/>
  <c r="I22" i="3"/>
  <c r="AF9" i="3"/>
  <c r="F24" i="3"/>
  <c r="AF8" i="3" s="1"/>
  <c r="D20" i="3" s="1"/>
  <c r="B7" i="5" s="1"/>
  <c r="E54" i="6"/>
  <c r="E56" i="6" s="1"/>
  <c r="F115" i="6"/>
  <c r="E116" i="6"/>
  <c r="F43" i="5"/>
  <c r="D117" i="6"/>
  <c r="D119" i="6" s="1"/>
  <c r="D118" i="6"/>
  <c r="G115" i="6" l="1"/>
  <c r="F116" i="6"/>
  <c r="I101" i="6"/>
  <c r="G30" i="5"/>
  <c r="H88" i="6"/>
  <c r="G90" i="6"/>
  <c r="G17" i="5"/>
  <c r="G102" i="6"/>
  <c r="F103" i="6"/>
  <c r="F30" i="6"/>
  <c r="F32" i="6" s="1"/>
  <c r="E117" i="6"/>
  <c r="E119" i="6" s="1"/>
  <c r="E118" i="6"/>
  <c r="G41" i="6"/>
  <c r="H39" i="6"/>
  <c r="N54" i="5"/>
  <c r="K61" i="5" s="1"/>
  <c r="G43" i="5"/>
  <c r="D105" i="6"/>
  <c r="J114" i="6"/>
  <c r="G29" i="6"/>
  <c r="H27" i="6"/>
  <c r="L16" i="5"/>
  <c r="R55" i="5"/>
  <c r="E55" i="6"/>
  <c r="E43" i="6"/>
  <c r="G53" i="6"/>
  <c r="H51" i="6"/>
  <c r="D92" i="6"/>
  <c r="B31" i="5"/>
  <c r="B44" i="5"/>
  <c r="B18" i="5"/>
  <c r="F8" i="5"/>
  <c r="E91" i="6" l="1"/>
  <c r="E93" i="6" s="1"/>
  <c r="K114" i="6"/>
  <c r="H102" i="6"/>
  <c r="G103" i="6"/>
  <c r="H53" i="6"/>
  <c r="I51" i="6"/>
  <c r="E104" i="6"/>
  <c r="E106" i="6" s="1"/>
  <c r="F42" i="6"/>
  <c r="F44" i="6" s="1"/>
  <c r="H43" i="5"/>
  <c r="H17" i="5"/>
  <c r="I88" i="6"/>
  <c r="H90" i="6"/>
  <c r="F54" i="6"/>
  <c r="F56" i="6" s="1"/>
  <c r="F55" i="6"/>
  <c r="H30" i="5"/>
  <c r="O54" i="5"/>
  <c r="I39" i="6"/>
  <c r="H41" i="6"/>
  <c r="J101" i="6"/>
  <c r="B21" i="5"/>
  <c r="B34" i="5"/>
  <c r="B47" i="5"/>
  <c r="F117" i="6"/>
  <c r="F119" i="6" s="1"/>
  <c r="F118" i="6"/>
  <c r="C18" i="5"/>
  <c r="B19" i="5"/>
  <c r="C44" i="5"/>
  <c r="B45" i="5"/>
  <c r="H29" i="6"/>
  <c r="I27" i="6"/>
  <c r="C31" i="5"/>
  <c r="B32" i="5"/>
  <c r="F31" i="6"/>
  <c r="H115" i="6"/>
  <c r="G116" i="6"/>
  <c r="S55" i="5"/>
  <c r="E92" i="6" l="1"/>
  <c r="D44" i="5"/>
  <c r="C45" i="5"/>
  <c r="C46" i="5" s="1"/>
  <c r="D18" i="5"/>
  <c r="C19" i="5"/>
  <c r="C20" i="5" s="1"/>
  <c r="F43" i="6"/>
  <c r="E105" i="6"/>
  <c r="J51" i="6"/>
  <c r="I53" i="6"/>
  <c r="C33" i="5"/>
  <c r="P54" i="5"/>
  <c r="I43" i="5"/>
  <c r="I30" i="5"/>
  <c r="G54" i="6"/>
  <c r="G56" i="6" s="1"/>
  <c r="G55" i="6"/>
  <c r="L114" i="6"/>
  <c r="G117" i="6"/>
  <c r="G119" i="6" s="1"/>
  <c r="I115" i="6"/>
  <c r="H116" i="6"/>
  <c r="I102" i="6"/>
  <c r="H103" i="6"/>
  <c r="G30" i="6"/>
  <c r="G32" i="6" s="1"/>
  <c r="K101" i="6"/>
  <c r="D31" i="5"/>
  <c r="C32" i="5"/>
  <c r="J39" i="6"/>
  <c r="I41" i="6"/>
  <c r="I17" i="5"/>
  <c r="J27" i="6"/>
  <c r="I29" i="6"/>
  <c r="I90" i="6"/>
  <c r="J88" i="6"/>
  <c r="F91" i="6"/>
  <c r="F93" i="6" s="1"/>
  <c r="F92" i="6"/>
  <c r="C22" i="5" l="1"/>
  <c r="J56" i="5"/>
  <c r="G62" i="5" s="1"/>
  <c r="C21" i="5"/>
  <c r="C48" i="5"/>
  <c r="J58" i="5"/>
  <c r="G64" i="5" s="1"/>
  <c r="C47" i="5"/>
  <c r="J17" i="5"/>
  <c r="C35" i="5"/>
  <c r="J57" i="5"/>
  <c r="G63" i="5" s="1"/>
  <c r="C34" i="5"/>
  <c r="J30" i="5"/>
  <c r="E18" i="5"/>
  <c r="D19" i="5"/>
  <c r="Q54" i="5"/>
  <c r="R54" i="5" s="1"/>
  <c r="S54" i="5" s="1"/>
  <c r="J41" i="6"/>
  <c r="K39" i="6"/>
  <c r="E31" i="5"/>
  <c r="D32" i="5"/>
  <c r="G118" i="6"/>
  <c r="L101" i="6"/>
  <c r="J53" i="6"/>
  <c r="K51" i="6"/>
  <c r="G91" i="6"/>
  <c r="G93" i="6" s="1"/>
  <c r="G92" i="6"/>
  <c r="H54" i="6"/>
  <c r="H56" i="6" s="1"/>
  <c r="F104" i="6"/>
  <c r="F106" i="6" s="1"/>
  <c r="G31" i="6"/>
  <c r="G42" i="6"/>
  <c r="G44" i="6" s="1"/>
  <c r="J115" i="6"/>
  <c r="I116" i="6"/>
  <c r="E44" i="5"/>
  <c r="D45" i="5"/>
  <c r="J90" i="6"/>
  <c r="K88" i="6"/>
  <c r="J102" i="6"/>
  <c r="I103" i="6"/>
  <c r="K27" i="6"/>
  <c r="J29" i="6"/>
  <c r="J43" i="5"/>
  <c r="K102" i="6" l="1"/>
  <c r="J103" i="6"/>
  <c r="D33" i="5"/>
  <c r="F44" i="5"/>
  <c r="E45" i="5"/>
  <c r="H117" i="6"/>
  <c r="H119" i="6" s="1"/>
  <c r="K115" i="6"/>
  <c r="J116" i="6"/>
  <c r="K17" i="5"/>
  <c r="G43" i="6"/>
  <c r="F31" i="5"/>
  <c r="E32" i="5"/>
  <c r="L27" i="6"/>
  <c r="L29" i="6" s="1"/>
  <c r="K29" i="6"/>
  <c r="K90" i="6"/>
  <c r="L88" i="6"/>
  <c r="L90" i="6" s="1"/>
  <c r="H30" i="6"/>
  <c r="H32" i="6" s="1"/>
  <c r="F105" i="6"/>
  <c r="D20" i="5"/>
  <c r="F18" i="5"/>
  <c r="E19" i="5"/>
  <c r="K41" i="6"/>
  <c r="L39" i="6"/>
  <c r="L41" i="6" s="1"/>
  <c r="H91" i="6"/>
  <c r="H93" i="6" s="1"/>
  <c r="K53" i="6"/>
  <c r="L51" i="6"/>
  <c r="L53" i="6" s="1"/>
  <c r="K30" i="5"/>
  <c r="D46" i="5"/>
  <c r="K43" i="5"/>
  <c r="H55" i="6"/>
  <c r="H118" i="6" l="1"/>
  <c r="H31" i="6"/>
  <c r="G31" i="5"/>
  <c r="F32" i="5"/>
  <c r="G18" i="5"/>
  <c r="F19" i="5"/>
  <c r="L43" i="5"/>
  <c r="L17" i="5"/>
  <c r="I117" i="6"/>
  <c r="I119" i="6" s="1"/>
  <c r="D48" i="5"/>
  <c r="K58" i="5"/>
  <c r="H64" i="5" s="1"/>
  <c r="I30" i="6"/>
  <c r="I32" i="6" s="1"/>
  <c r="D35" i="5"/>
  <c r="K57" i="5"/>
  <c r="H63" i="5" s="1"/>
  <c r="L30" i="5"/>
  <c r="H92" i="6"/>
  <c r="H42" i="6"/>
  <c r="H44" i="6" s="1"/>
  <c r="H43" i="6"/>
  <c r="L115" i="6"/>
  <c r="L116" i="6" s="1"/>
  <c r="K116" i="6"/>
  <c r="D22" i="5"/>
  <c r="K56" i="5"/>
  <c r="H62" i="5" s="1"/>
  <c r="D21" i="5"/>
  <c r="G104" i="6"/>
  <c r="G106" i="6" s="1"/>
  <c r="D47" i="5"/>
  <c r="D34" i="5"/>
  <c r="I54" i="6"/>
  <c r="I56" i="6" s="1"/>
  <c r="G44" i="5"/>
  <c r="F45" i="5"/>
  <c r="L102" i="6"/>
  <c r="L103" i="6" s="1"/>
  <c r="K103" i="6"/>
  <c r="I55" i="6" l="1"/>
  <c r="E46" i="5"/>
  <c r="I31" i="6"/>
  <c r="G105" i="6"/>
  <c r="E20" i="5"/>
  <c r="E21" i="5"/>
  <c r="I118" i="6"/>
  <c r="E33" i="5"/>
  <c r="E34" i="5"/>
  <c r="I42" i="6"/>
  <c r="I44" i="6" s="1"/>
  <c r="I43" i="6"/>
  <c r="I91" i="6"/>
  <c r="I93" i="6" s="1"/>
  <c r="I92" i="6"/>
  <c r="H18" i="5"/>
  <c r="G19" i="5"/>
  <c r="H44" i="5"/>
  <c r="G45" i="5"/>
  <c r="H31" i="5"/>
  <c r="G32" i="5"/>
  <c r="H104" i="6" l="1"/>
  <c r="H106" i="6" s="1"/>
  <c r="J30" i="6"/>
  <c r="J32" i="6" s="1"/>
  <c r="J31" i="6"/>
  <c r="E48" i="5"/>
  <c r="L58" i="5"/>
  <c r="I64" i="5" s="1"/>
  <c r="E47" i="5"/>
  <c r="J42" i="6"/>
  <c r="J44" i="6" s="1"/>
  <c r="J43" i="6"/>
  <c r="F33" i="5"/>
  <c r="L57" i="5"/>
  <c r="I63" i="5" s="1"/>
  <c r="E35" i="5"/>
  <c r="I31" i="5"/>
  <c r="H32" i="5"/>
  <c r="J118" i="6"/>
  <c r="J117" i="6"/>
  <c r="J119" i="6" s="1"/>
  <c r="F20" i="5"/>
  <c r="I44" i="5"/>
  <c r="H45" i="5"/>
  <c r="E22" i="5"/>
  <c r="L56" i="5"/>
  <c r="I62" i="5" s="1"/>
  <c r="I18" i="5"/>
  <c r="H19" i="5"/>
  <c r="J91" i="6"/>
  <c r="J93" i="6" s="1"/>
  <c r="J54" i="6"/>
  <c r="J56" i="6" s="1"/>
  <c r="K117" i="6" l="1"/>
  <c r="K119" i="6" s="1"/>
  <c r="J55" i="6"/>
  <c r="F35" i="5"/>
  <c r="M57" i="5"/>
  <c r="J63" i="5" s="1"/>
  <c r="J92" i="6"/>
  <c r="K42" i="6"/>
  <c r="K44" i="6" s="1"/>
  <c r="K43" i="6"/>
  <c r="J18" i="5"/>
  <c r="I19" i="5"/>
  <c r="J31" i="5"/>
  <c r="I32" i="5"/>
  <c r="F34" i="5"/>
  <c r="F46" i="5"/>
  <c r="J44" i="5"/>
  <c r="I45" i="5"/>
  <c r="K30" i="6"/>
  <c r="K32" i="6" s="1"/>
  <c r="M56" i="5"/>
  <c r="J62" i="5" s="1"/>
  <c r="F22" i="5"/>
  <c r="F21" i="5"/>
  <c r="H105" i="6"/>
  <c r="K31" i="6" l="1"/>
  <c r="K54" i="6"/>
  <c r="K56" i="6" s="1"/>
  <c r="G33" i="5"/>
  <c r="K91" i="6"/>
  <c r="K93" i="6" s="1"/>
  <c r="L30" i="6"/>
  <c r="L32" i="6" s="1"/>
  <c r="B33" i="6" s="1"/>
  <c r="B34" i="6" s="1"/>
  <c r="L31" i="6"/>
  <c r="K44" i="5"/>
  <c r="J45" i="5"/>
  <c r="F48" i="5"/>
  <c r="M58" i="5"/>
  <c r="J64" i="5" s="1"/>
  <c r="F47" i="5"/>
  <c r="K31" i="5"/>
  <c r="J32" i="5"/>
  <c r="K18" i="5"/>
  <c r="J19" i="5"/>
  <c r="L42" i="6"/>
  <c r="L44" i="6" s="1"/>
  <c r="B45" i="6" s="1"/>
  <c r="B46" i="6" s="1"/>
  <c r="I104" i="6"/>
  <c r="I106" i="6" s="1"/>
  <c r="I105" i="6"/>
  <c r="G20" i="5"/>
  <c r="K118" i="6"/>
  <c r="K92" i="6" l="1"/>
  <c r="L91" i="6"/>
  <c r="L93" i="6" s="1"/>
  <c r="B94" i="6" s="1"/>
  <c r="B96" i="6" s="1"/>
  <c r="L18" i="5"/>
  <c r="L19" i="5" s="1"/>
  <c r="K19" i="5"/>
  <c r="L31" i="5"/>
  <c r="L32" i="5" s="1"/>
  <c r="K32" i="5"/>
  <c r="G46" i="5"/>
  <c r="L44" i="5"/>
  <c r="L45" i="5" s="1"/>
  <c r="K45" i="5"/>
  <c r="L117" i="6"/>
  <c r="L119" i="6" s="1"/>
  <c r="B120" i="6" s="1"/>
  <c r="B122" i="6" s="1"/>
  <c r="L118" i="6"/>
  <c r="N56" i="5"/>
  <c r="G22" i="5"/>
  <c r="B35" i="6"/>
  <c r="C21" i="6" s="1"/>
  <c r="B21" i="6"/>
  <c r="G21" i="5"/>
  <c r="J104" i="6"/>
  <c r="J106" i="6" s="1"/>
  <c r="J105" i="6"/>
  <c r="G35" i="5"/>
  <c r="N57" i="5"/>
  <c r="K63" i="5" s="1"/>
  <c r="B47" i="6"/>
  <c r="C22" i="6" s="1"/>
  <c r="B22" i="6"/>
  <c r="G34" i="5"/>
  <c r="L43" i="6"/>
  <c r="K55" i="6"/>
  <c r="L92" i="6" l="1"/>
  <c r="L54" i="6"/>
  <c r="L56" i="6" s="1"/>
  <c r="B57" i="6" s="1"/>
  <c r="B58" i="6" s="1"/>
  <c r="H33" i="5"/>
  <c r="B123" i="6"/>
  <c r="C123" i="6" s="1"/>
  <c r="C84" i="6" s="1"/>
  <c r="C122" i="6"/>
  <c r="B84" i="6" s="1"/>
  <c r="G48" i="5"/>
  <c r="N58" i="5"/>
  <c r="G47" i="5"/>
  <c r="K104" i="6"/>
  <c r="K106" i="6" s="1"/>
  <c r="H20" i="5"/>
  <c r="H21" i="5"/>
  <c r="C96" i="6"/>
  <c r="B82" i="6" s="1"/>
  <c r="B97" i="6"/>
  <c r="C97" i="6" s="1"/>
  <c r="C82" i="6" s="1"/>
  <c r="K105" i="6" l="1"/>
  <c r="L55" i="6"/>
  <c r="I20" i="5"/>
  <c r="I21" i="5" s="1"/>
  <c r="H22" i="5"/>
  <c r="O56" i="5"/>
  <c r="L104" i="6"/>
  <c r="L106" i="6" s="1"/>
  <c r="B107" i="6" s="1"/>
  <c r="B109" i="6" s="1"/>
  <c r="L105" i="6"/>
  <c r="H46" i="5"/>
  <c r="H47" i="5"/>
  <c r="O57" i="5"/>
  <c r="H35" i="5"/>
  <c r="B59" i="6"/>
  <c r="C23" i="6" s="1"/>
  <c r="B23" i="6"/>
  <c r="H34" i="5"/>
  <c r="J20" i="5" l="1"/>
  <c r="J21" i="5" s="1"/>
  <c r="I33" i="5"/>
  <c r="I34" i="5"/>
  <c r="I46" i="5"/>
  <c r="I47" i="5"/>
  <c r="H48" i="5"/>
  <c r="O58" i="5"/>
  <c r="C109" i="6"/>
  <c r="B83" i="6" s="1"/>
  <c r="B110" i="6"/>
  <c r="C110" i="6" s="1"/>
  <c r="C83" i="6" s="1"/>
  <c r="I22" i="5"/>
  <c r="P56" i="5"/>
  <c r="J46" i="5" l="1"/>
  <c r="J47" i="5" s="1"/>
  <c r="P58" i="5"/>
  <c r="I48" i="5"/>
  <c r="J33" i="5"/>
  <c r="J34" i="5"/>
  <c r="P57" i="5"/>
  <c r="I35" i="5"/>
  <c r="J22" i="5"/>
  <c r="Q56" i="5"/>
  <c r="K20" i="5"/>
  <c r="K21" i="5" s="1"/>
  <c r="K46" i="5" l="1"/>
  <c r="L20" i="5"/>
  <c r="L21" i="5" s="1"/>
  <c r="R56" i="5"/>
  <c r="K22" i="5"/>
  <c r="K33" i="5"/>
  <c r="K34" i="5"/>
  <c r="J35" i="5"/>
  <c r="Q57" i="5"/>
  <c r="Q58" i="5"/>
  <c r="J48" i="5"/>
  <c r="L33" i="5" l="1"/>
  <c r="L34" i="5" s="1"/>
  <c r="R57" i="5"/>
  <c r="K35" i="5"/>
  <c r="K48" i="5"/>
  <c r="R58" i="5"/>
  <c r="L22" i="5"/>
  <c r="B23" i="5" s="1"/>
  <c r="B25" i="5" s="1"/>
  <c r="S56" i="5"/>
  <c r="K47" i="5"/>
  <c r="L46" i="5" l="1"/>
  <c r="L47" i="5" s="1"/>
  <c r="B26" i="5"/>
  <c r="C26" i="5" s="1"/>
  <c r="C11" i="5" s="1"/>
  <c r="F28" i="3" s="1"/>
  <c r="C25" i="5"/>
  <c r="B11" i="5" s="1"/>
  <c r="E11" i="5" s="1"/>
  <c r="G28" i="3" s="1"/>
  <c r="S57" i="5"/>
  <c r="L35" i="5"/>
  <c r="B36" i="5" s="1"/>
  <c r="B38" i="5" s="1"/>
  <c r="L48" i="5" l="1"/>
  <c r="B49" i="5" s="1"/>
  <c r="B51" i="5" s="1"/>
  <c r="S58" i="5"/>
  <c r="C38" i="5"/>
  <c r="B12" i="5" s="1"/>
  <c r="E12" i="5" s="1"/>
  <c r="G29" i="3" s="1"/>
  <c r="B39" i="5"/>
  <c r="C39" i="5" s="1"/>
  <c r="C12" i="5" s="1"/>
  <c r="F29" i="3" s="1"/>
  <c r="O63" i="5" l="1"/>
  <c r="L61" i="5"/>
  <c r="P64" i="5"/>
  <c r="O64" i="5"/>
  <c r="K64" i="5"/>
  <c r="L63" i="5"/>
  <c r="N64" i="5"/>
  <c r="M64" i="5"/>
  <c r="K62" i="5"/>
  <c r="O61" i="5"/>
  <c r="M61" i="5"/>
  <c r="P62" i="5"/>
  <c r="N63" i="5"/>
  <c r="M62" i="5"/>
  <c r="N61" i="5"/>
  <c r="L64" i="5"/>
  <c r="L62" i="5"/>
  <c r="O62" i="5"/>
  <c r="P61" i="5"/>
  <c r="P63" i="5"/>
  <c r="N62" i="5"/>
  <c r="M63" i="5"/>
  <c r="C51" i="5"/>
  <c r="B13" i="5" s="1"/>
  <c r="E13" i="5" s="1"/>
  <c r="G30" i="3" s="1"/>
  <c r="B52" i="5"/>
  <c r="C52" i="5" s="1"/>
  <c r="C13" i="5" s="1"/>
  <c r="F30" i="3" s="1"/>
  <c r="F31" i="3" s="1"/>
  <c r="C28" i="3" l="1"/>
  <c r="D28" i="3" s="1"/>
  <c r="C29" i="3"/>
  <c r="G31" i="3"/>
  <c r="C30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<sst xmlns="http://schemas.openxmlformats.org/spreadsheetml/2006/main" count="1061" uniqueCount="435">
  <si>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</si>
  <si>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</si>
  <si>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</si>
  <si>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</si>
  <si>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</si>
  <si>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</si>
  <si>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</si>
  <si>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</si>
  <si>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</si>
  <si>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</si>
  <si>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</si>
  <si>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</si>
  <si>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</si>
  <si>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</si>
  <si>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</si>
  <si>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</si>
  <si>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</si>
  <si>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</si>
  <si>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</si>
  <si>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</si>
  <si>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</si>
  <si>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</si>
  <si>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</si>
  <si>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</si>
  <si>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</si>
  <si>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</si>
  <si>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</si>
  <si>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</si>
  <si>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</si>
  <si>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</si>
  <si>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</si>
  <si>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</si>
  <si>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</si>
  <si>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</si>
  <si>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</si>
  <si>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</si>
  <si>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</si>
  <si>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</si>
  <si>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</si>
  <si>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</si>
  <si>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</si>
  <si>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</si>
  <si>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</si>
  <si>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</si>
  <si>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</si>
  <si>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</si>
  <si>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</si>
  <si>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</si>
  <si>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</si>
  <si>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</si>
  <si>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</si>
  <si>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</si>
  <si>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</si>
  <si>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</si>
  <si>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</si>
  <si>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</si>
  <si>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</si>
  <si>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</si>
  <si>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</si>
  <si>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</si>
  <si>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</si>
  <si>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한신공영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</si>
  <si>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</si>
  <si>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</si>
  <si>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</si>
  <si>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</si>
  <si>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</si>
  <si>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</si>
  <si>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</si>
  <si>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</si>
  <si>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</si>
  <si>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</si>
  <si>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</si>
  <si>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</si>
  <si>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</si>
  <si>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</si>
  <si>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</si>
  <si>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</si>
  <si>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</si>
  <si>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</si>
  <si>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</si>
  <si>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</si>
  <si>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</si>
  <si>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</si>
  <si>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</si>
  <si>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</si>
  <si>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</si>
  <si>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</si>
  <si>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</si>
  <si>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</si>
  <si>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</si>
  <si>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</si>
  <si>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</si>
  <si>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</si>
  <si>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</si>
  <si>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</si>
  <si>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</si>
  <si>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</si>
  <si>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</si>
  <si>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</si>
  <si>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</si>
  <si>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</si>
  <si>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</si>
  <si>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</si>
  <si>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</si>
  <si>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</si>
  <si>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17,730/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</si>
  <si>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</si>
  <si>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</si>
  <si>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</si>
  <si>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</si>
  <si>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</si>
  <si>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</si>
  <si>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</si>
  <si>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</si>
  <si>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</si>
  <si>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</si>
  <si>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</si>
  <si>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</si>
  <si>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</si>
  <si>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</si>
  <si>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</si>
  <si>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</si>
  <si>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</si>
  <si>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11,570,702/ 3,572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</si>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</sst>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A4-4C30-AF5B-D63F138EABF1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A4-4C30-AF5B-D63F138EABF1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A4-4C30-AF5B-D63F138EABF1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8A4-4C30-AF5B-D63F138EABF1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8A4-4C30-AF5B-D63F138EABF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484</c:v>
                </c:pt>
                <c:pt idx="1">
                  <c:v>455</c:v>
                </c:pt>
                <c:pt idx="2">
                  <c:v>319</c:v>
                </c:pt>
                <c:pt idx="3">
                  <c:v>69</c:v>
                </c:pt>
                <c:pt idx="4">
                  <c:v>0</c:v>
                </c:pt>
                <c:pt idx="5">
                  <c:v>117.26946666666663</c:v>
                </c:pt>
                <c:pt idx="6">
                  <c:v>118.97378291555552</c:v>
                </c:pt>
                <c:pt idx="7">
                  <c:v>120.70286856059491</c:v>
                </c:pt>
                <c:pt idx="8">
                  <c:v>122.45708358367555</c:v>
                </c:pt>
                <c:pt idx="9">
                  <c:v>124.23679319842496</c:v>
                </c:pt>
                <c:pt idx="10">
                  <c:v>126.04236792624206</c:v>
                </c:pt>
                <c:pt idx="11">
                  <c:v>127.87418367343678</c:v>
                </c:pt>
                <c:pt idx="12">
                  <c:v>129.73262180949072</c:v>
                </c:pt>
                <c:pt idx="13">
                  <c:v>131.61806924645535</c:v>
                </c:pt>
                <c:pt idx="14">
                  <c:v>133.53091851950381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A4-4C30-AF5B-D63F138EABF1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F8A4-4C30-AF5B-D63F138EABF1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F8A4-4C30-AF5B-D63F138EABF1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F8A4-4C30-AF5B-D63F138EABF1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F8A4-4C30-AF5B-D63F138EABF1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F8A4-4C30-AF5B-D63F138EABF1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8A4-4C30-AF5B-D63F138EABF1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484</c:v>
                </c:pt>
                <c:pt idx="1">
                  <c:v>455</c:v>
                </c:pt>
                <c:pt idx="2">
                  <c:v>319</c:v>
                </c:pt>
                <c:pt idx="3">
                  <c:v>69</c:v>
                </c:pt>
                <c:pt idx="4">
                  <c:v>0</c:v>
                </c:pt>
                <c:pt idx="5">
                  <c:v>188.33045999999999</c:v>
                </c:pt>
                <c:pt idx="6">
                  <c:v>258.17369416235999</c:v>
                </c:pt>
                <c:pt idx="7">
                  <c:v>326.99025021734212</c:v>
                </c:pt>
                <c:pt idx="8">
                  <c:v>396.31582425731989</c:v>
                </c:pt>
                <c:pt idx="9">
                  <c:v>467.46082988680485</c:v>
                </c:pt>
                <c:pt idx="10">
                  <c:v>541.58820825476312</c:v>
                </c:pt>
                <c:pt idx="11">
                  <c:v>619.76989275047777</c:v>
                </c:pt>
                <c:pt idx="12">
                  <c:v>703.0289702491342</c:v>
                </c:pt>
                <c:pt idx="13">
                  <c:v>792.37219407910015</c:v>
                </c:pt>
                <c:pt idx="14">
                  <c:v>888.815982468166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8A4-4C30-AF5B-D63F138EABF1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F8A4-4C30-AF5B-D63F138EABF1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F8A4-4C30-AF5B-D63F138EABF1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F8A4-4C30-AF5B-D63F138EABF1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F8A4-4C30-AF5B-D63F138EABF1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F8A4-4C30-AF5B-D63F138EABF1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8A4-4C30-AF5B-D63F138EABF1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484</c:v>
                </c:pt>
                <c:pt idx="1">
                  <c:v>455</c:v>
                </c:pt>
                <c:pt idx="2">
                  <c:v>319</c:v>
                </c:pt>
                <c:pt idx="3">
                  <c:v>69</c:v>
                </c:pt>
                <c:pt idx="4">
                  <c:v>0</c:v>
                </c:pt>
                <c:pt idx="5">
                  <c:v>259.39145333333323</c:v>
                </c:pt>
                <c:pt idx="6">
                  <c:v>385.08261175825771</c:v>
                </c:pt>
                <c:pt idx="7">
                  <c:v>501.1107316868754</c:v>
                </c:pt>
                <c:pt idx="8">
                  <c:v>613.0269144710328</c:v>
                </c:pt>
                <c:pt idx="9">
                  <c:v>724.710835232779</c:v>
                </c:pt>
                <c:pt idx="10">
                  <c:v>839.05581040330219</c:v>
                </c:pt>
                <c:pt idx="11">
                  <c:v>958.36897964945388</c:v>
                </c:pt>
                <c:pt idx="12">
                  <c:v>1084.6148939655379</c:v>
                </c:pt>
                <c:pt idx="13">
                  <c:v>1219.5699535487799</c:v>
                </c:pt>
                <c:pt idx="14">
                  <c:v>1364.9245942767366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F8A4-4C30-AF5B-D63F138EA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10.78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40.76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1.5599999999999999E-2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0.85091000000000006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10.78</v>
      </c>
      <c r="C282">
        <v>40.76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12.32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0.89</v>
      </c>
      <c r="C290">
        <v>1.06</v>
      </c>
      <c r="D290">
        <v>7.47</v>
      </c>
    </row>
    <row r="291" spans="1:4" x14ac:dyDescent="0.4">
      <c r="A291" t="s">
        <v>85</v>
      </c>
      <c r="B291">
        <v>1.56</v>
      </c>
      <c r="C291">
        <v>2.2999999999999998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2.3199999999999998</v>
      </c>
      <c r="C443">
        <v>1.79</v>
      </c>
      <c r="D443">
        <v>0.98</v>
      </c>
      <c r="E443">
        <v>0.62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3045</v>
      </c>
      <c r="C482" s="194">
        <v>3002</v>
      </c>
      <c r="D482" s="194">
        <v>2859</v>
      </c>
      <c r="E482" s="194">
        <v>2599</v>
      </c>
      <c r="F482" s="194">
        <v>2599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165</v>
      </c>
      <c r="C483" s="194">
        <v>177</v>
      </c>
      <c r="D483" s="194">
        <v>223</v>
      </c>
      <c r="E483" s="194">
        <v>97</v>
      </c>
      <c r="F483" s="194">
        <v>97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165</v>
      </c>
      <c r="C484" s="194">
        <v>177</v>
      </c>
      <c r="D484" s="194">
        <v>223</v>
      </c>
      <c r="E484" s="194">
        <v>97</v>
      </c>
      <c r="F484" s="194">
        <v>97</v>
      </c>
      <c r="G484" s="194"/>
      <c r="H484" s="194"/>
      <c r="I484" s="194"/>
    </row>
    <row r="485" spans="1:9" x14ac:dyDescent="0.4">
      <c r="A485" t="s">
        <v>277</v>
      </c>
      <c r="B485" s="194">
        <v>40</v>
      </c>
      <c r="C485" s="194">
        <v>36</v>
      </c>
      <c r="D485" s="194">
        <v>256</v>
      </c>
      <c r="E485" s="194">
        <v>248</v>
      </c>
      <c r="F485" s="194">
        <v>248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40</v>
      </c>
      <c r="C486" s="194">
        <v>37</v>
      </c>
      <c r="D486" s="194">
        <v>260</v>
      </c>
      <c r="E486" s="194">
        <v>260</v>
      </c>
      <c r="F486" s="194">
        <v>260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1</v>
      </c>
      <c r="C487" s="194">
        <v>-1</v>
      </c>
      <c r="D487" s="194">
        <v>-4</v>
      </c>
      <c r="E487" s="194">
        <v>-4</v>
      </c>
      <c r="F487" s="194">
        <v>-4</v>
      </c>
    </row>
    <row r="488" spans="1:9" x14ac:dyDescent="0.4">
      <c r="A488" t="s">
        <v>280</v>
      </c>
      <c r="B488" s="194">
        <v>23998</v>
      </c>
      <c r="C488" s="194">
        <v>24160</v>
      </c>
      <c r="D488" s="194">
        <v>22669</v>
      </c>
      <c r="E488" s="194">
        <v>22669</v>
      </c>
      <c r="F488" s="194">
        <v>22669</v>
      </c>
    </row>
    <row r="489" spans="1:9" x14ac:dyDescent="0.4">
      <c r="A489" t="s">
        <v>281</v>
      </c>
      <c r="B489" s="194">
        <v>16161</v>
      </c>
      <c r="C489" s="194">
        <v>16298</v>
      </c>
      <c r="D489" s="194">
        <v>14538</v>
      </c>
      <c r="E489" s="194">
        <v>14538</v>
      </c>
      <c r="F489" s="194">
        <v>14538</v>
      </c>
    </row>
    <row r="490" spans="1:9" x14ac:dyDescent="0.4">
      <c r="A490" t="s">
        <v>282</v>
      </c>
      <c r="B490" s="194">
        <v>7836</v>
      </c>
      <c r="C490" s="194">
        <v>7862</v>
      </c>
      <c r="D490" s="194">
        <v>8130</v>
      </c>
      <c r="E490" s="194">
        <v>8130</v>
      </c>
      <c r="F490" s="194">
        <v>8130</v>
      </c>
    </row>
    <row r="491" spans="1:9" x14ac:dyDescent="0.4">
      <c r="A491" t="s">
        <v>283</v>
      </c>
      <c r="B491" s="194">
        <v>7767</v>
      </c>
      <c r="C491" s="194">
        <v>7799</v>
      </c>
      <c r="D491" s="194">
        <v>8069</v>
      </c>
      <c r="E491" s="194">
        <v>8069</v>
      </c>
      <c r="F491" s="194">
        <v>8069</v>
      </c>
    </row>
    <row r="492" spans="1:9" x14ac:dyDescent="0.4">
      <c r="A492" t="s">
        <v>284</v>
      </c>
      <c r="B492" s="194">
        <v>69</v>
      </c>
      <c r="C492" s="194">
        <v>63</v>
      </c>
      <c r="D492" s="194">
        <v>61</v>
      </c>
      <c r="E492" s="194">
        <v>61</v>
      </c>
      <c r="F492" s="194">
        <v>61</v>
      </c>
    </row>
    <row r="493" spans="1:9" x14ac:dyDescent="0.4">
      <c r="A493" t="s">
        <v>285</v>
      </c>
      <c r="B493" s="194">
        <v>579</v>
      </c>
      <c r="C493" s="194">
        <v>579</v>
      </c>
      <c r="D493" s="196">
        <v>579</v>
      </c>
      <c r="E493" s="196">
        <v>579</v>
      </c>
      <c r="F493" s="196">
        <v>579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0.68</v>
      </c>
      <c r="C510">
        <v>0.6</v>
      </c>
      <c r="D510">
        <v>4.38</v>
      </c>
      <c r="E510">
        <v>4.38</v>
      </c>
      <c r="F510">
        <v>4.38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한신공영</v>
      </c>
      <c r="D4" s="82" t="s">
        <v>340</v>
      </c>
      <c r="E4" s="83">
        <f ca="1">Data!B7</f>
        <v>11570702</v>
      </c>
      <c r="F4" s="84"/>
      <c r="G4" s="84"/>
      <c r="H4" s="85"/>
    </row>
    <row r="5" spans="2:34" x14ac:dyDescent="0.4">
      <c r="B5" s="86" t="s">
        <v>341</v>
      </c>
      <c r="C5" s="87">
        <f ca="1">Data!B5</f>
        <v>17730</v>
      </c>
      <c r="D5" s="88" t="s">
        <v>342</v>
      </c>
      <c r="E5" s="89">
        <f ca="1">Data!C7</f>
        <v>3572</v>
      </c>
      <c r="H5" s="90"/>
    </row>
    <row r="6" spans="2:34" x14ac:dyDescent="0.4">
      <c r="B6" s="86" t="s">
        <v>343</v>
      </c>
      <c r="C6" s="91">
        <f ca="1">Data!B6</f>
        <v>0.85091000000000006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1.453333333333333E-2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1.453333333333333E-2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0.10318262187421066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1.453333333333333E-2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7.5499999999999998E-2</v>
      </c>
      <c r="D22" s="120">
        <f>Data!C40</f>
        <v>6.4899999999999999E-2</v>
      </c>
      <c r="E22" s="121">
        <f>Data!D40</f>
        <v>4.2699999999999988E-2</v>
      </c>
      <c r="F22" s="122">
        <f>Data!E40</f>
        <v>8.8999999999999999E-3</v>
      </c>
      <c r="G22" s="122">
        <f>Data!F40</f>
        <v>8.8999999999999999E-3</v>
      </c>
      <c r="H22" s="123">
        <f ca="1">Data!K78</f>
        <v>0.10318262187421066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1.453333333333333E-2</v>
      </c>
      <c r="G24" s="122">
        <f ca="1">IF(E24="컨센 없음",IF(D24="컨센 없음",IF(C24="컨센 없음",IF(H22="분기자료부족",J22,IF(I21="상승추세",H22,IF(I22="하락추세",H22,F24))),C24),D24),E24)</f>
        <v>1.453333333333333E-2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17730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30973.491308591645</v>
      </c>
      <c r="D28" s="143">
        <f ca="1">C27/C28-1</f>
        <v>-0.42757502461203245</v>
      </c>
      <c r="E28" s="144" t="s">
        <v>368</v>
      </c>
      <c r="F28" s="145">
        <f ca="1">RIM계산!C11</f>
        <v>30973.491308591645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53227.829535334655</v>
      </c>
      <c r="E29" s="149" t="s">
        <v>370</v>
      </c>
      <c r="F29" s="150">
        <f ca="1">RIM계산!C12</f>
        <v>44033.542841579401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30973.491308591645</v>
      </c>
      <c r="E30" s="149" t="s">
        <v>372</v>
      </c>
      <c r="F30" s="154">
        <f ca="1">RIM계산!C13</f>
        <v>53227.829535334655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350</v>
      </c>
      <c r="D34" s="162">
        <f>Data!C43</f>
        <v>300</v>
      </c>
      <c r="E34" s="162">
        <f>Data!D43</f>
        <v>100</v>
      </c>
      <c r="F34" s="162">
        <f>Data!E43</f>
        <v>100</v>
      </c>
      <c r="G34" s="162">
        <f>Data!F43</f>
        <v>150</v>
      </c>
      <c r="H34" s="163">
        <f>Data!G43</f>
        <v>0</v>
      </c>
    </row>
    <row r="35" spans="2:8" x14ac:dyDescent="0.4">
      <c r="B35" s="164" t="s">
        <v>85</v>
      </c>
      <c r="C35" s="165">
        <f>Data!B44</f>
        <v>2.23E-2</v>
      </c>
      <c r="D35" s="165">
        <f>Data!C44</f>
        <v>3.5299999999999998E-2</v>
      </c>
      <c r="E35" s="165">
        <f>Data!D44</f>
        <v>1.3899999999999999E-2</v>
      </c>
      <c r="F35" s="165">
        <f>Data!E44</f>
        <v>1.5599999999999999E-2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2.3199999999999998E-2</v>
      </c>
      <c r="D36" s="6">
        <f ca="1">Data!C39</f>
        <v>1.7899999999999999E-2</v>
      </c>
      <c r="E36" s="6">
        <f ca="1">Data!D39</f>
        <v>9.7999999999999997E-3</v>
      </c>
      <c r="F36" s="6">
        <f ca="1">Data!E39</f>
        <v>6.1999999999999998E-3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4186</v>
      </c>
      <c r="D37" s="71">
        <f>Data!C41</f>
        <v>3927</v>
      </c>
      <c r="E37" s="71">
        <f>Data!D41</f>
        <v>2756</v>
      </c>
      <c r="F37" s="71">
        <f>Data!E41</f>
        <v>593</v>
      </c>
      <c r="G37" s="71">
        <f>Data!F41</f>
        <v>5017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57998</v>
      </c>
      <c r="D38" s="71">
        <f>Data!C42</f>
        <v>63031</v>
      </c>
      <c r="E38" s="71">
        <f>Data!D42</f>
        <v>66041</v>
      </c>
      <c r="F38" s="71">
        <f>Data!E42</f>
        <v>66854</v>
      </c>
      <c r="G38" s="71">
        <f>Data!F42</f>
        <v>66854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6.0346908514086689E-3</v>
      </c>
      <c r="D39" s="169">
        <f t="shared" si="0"/>
        <v>4.7595627548349222E-3</v>
      </c>
      <c r="E39" s="169">
        <f t="shared" si="0"/>
        <v>1.5142108690056177E-3</v>
      </c>
      <c r="F39" s="169">
        <f t="shared" si="0"/>
        <v>1.495796810961199E-3</v>
      </c>
      <c r="G39" s="169">
        <f t="shared" si="0"/>
        <v>2.2436952164417985E-3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한신공영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8.8999999999999999E-3</v>
      </c>
      <c r="D42" s="6">
        <f>Data!C85</f>
        <v>1.06E-2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10.78</v>
      </c>
      <c r="D43" s="183">
        <f>Data!C86</f>
        <v>40.76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1.5599999999999999E-2</v>
      </c>
      <c r="D44" s="188">
        <f>Data!C87</f>
        <v>2.3E-2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한신공영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17730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17,730/ </v>
      </c>
    </row>
    <row r="6" spans="1:9" x14ac:dyDescent="0.4">
      <c r="A6" s="15" t="s">
        <v>114</v>
      </c>
      <c r="B6" s="15">
        <f ca="1">I6</f>
        <v>0.85091000000000006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0.85091000000000006</v>
      </c>
    </row>
    <row r="7" spans="1:9" x14ac:dyDescent="0.4">
      <c r="A7" s="15" t="s">
        <v>123</v>
      </c>
      <c r="B7" s="66">
        <f ca="1">LEFT(I7,SEARCHB("/",I7)-1)*1</f>
        <v>11570702</v>
      </c>
      <c r="C7" s="66">
        <f ca="1">RIGHT(I7,LEN(I7)-SEARCHB("/",I7))*1</f>
        <v>3572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11,570,702/ 3,572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10.78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10.78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40.76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40.76</v>
      </c>
    </row>
    <row r="19" spans="1:9" x14ac:dyDescent="0.4">
      <c r="A19" s="9" t="s">
        <v>247</v>
      </c>
      <c r="B19" s="9">
        <f t="shared" ca="1" si="0"/>
        <v>12.32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12.32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1.5599999999999999E-2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1.5599999999999999E-2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13111</v>
      </c>
      <c r="C27" s="71">
        <v>12216</v>
      </c>
      <c r="D27" s="71">
        <v>13090</v>
      </c>
      <c r="E27" s="71">
        <v>14904</v>
      </c>
      <c r="F27" s="71">
        <v>11505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446</v>
      </c>
      <c r="C28" s="71">
        <v>394</v>
      </c>
      <c r="D28" s="71">
        <v>148</v>
      </c>
      <c r="E28" s="71">
        <v>373</v>
      </c>
      <c r="F28" s="71">
        <v>661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446</v>
      </c>
      <c r="C29" s="71">
        <v>394</v>
      </c>
      <c r="D29" s="71">
        <v>148</v>
      </c>
      <c r="E29" s="71">
        <v>373</v>
      </c>
      <c r="F29" s="71">
        <v>661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447</v>
      </c>
      <c r="C30" s="71">
        <v>400</v>
      </c>
      <c r="D30" s="71">
        <v>237</v>
      </c>
      <c r="E30" s="71">
        <v>148</v>
      </c>
      <c r="F30" s="71">
        <v>581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484</v>
      </c>
      <c r="C31" s="74">
        <v>455</v>
      </c>
      <c r="D31" s="74">
        <v>319</v>
      </c>
      <c r="E31" s="74">
        <v>69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-38</v>
      </c>
      <c r="C32" s="71">
        <v>-55</v>
      </c>
      <c r="D32" s="71">
        <v>-82</v>
      </c>
      <c r="E32" s="71">
        <v>79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21199</v>
      </c>
      <c r="C33" s="71">
        <v>23494</v>
      </c>
      <c r="D33" s="71">
        <v>24689</v>
      </c>
      <c r="E33" s="71">
        <v>23179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14422</v>
      </c>
      <c r="C34" s="71">
        <v>16227</v>
      </c>
      <c r="D34" s="71">
        <v>17160</v>
      </c>
      <c r="E34" s="71">
        <v>15366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6778</v>
      </c>
      <c r="C35" s="71">
        <v>7267</v>
      </c>
      <c r="D35" s="71">
        <v>7529</v>
      </c>
      <c r="E35" s="71">
        <v>7813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6713</v>
      </c>
      <c r="C36" s="74">
        <v>7295</v>
      </c>
      <c r="D36" s="74">
        <v>7644</v>
      </c>
      <c r="E36" s="74">
        <v>7738</v>
      </c>
      <c r="F36" s="74">
        <v>7738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65</v>
      </c>
      <c r="C37" s="71">
        <v>-28</v>
      </c>
      <c r="D37" s="71">
        <v>-114</v>
      </c>
      <c r="E37" s="71">
        <v>75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579</v>
      </c>
      <c r="C38" s="71">
        <v>579</v>
      </c>
      <c r="D38" s="71">
        <v>579</v>
      </c>
      <c r="E38" s="71">
        <v>579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2.3199999999999998E-2</v>
      </c>
      <c r="C39" s="75">
        <f ca="1">OFFSET(INDIRECT($H$24),ROW()-2,COLUMN()-1,1,1)/100</f>
        <v>1.7899999999999999E-2</v>
      </c>
      <c r="D39" s="75">
        <f ca="1">OFFSET(INDIRECT($H$24),ROW()-2,COLUMN()-1,1,1)/100</f>
        <v>9.7999999999999997E-3</v>
      </c>
      <c r="E39" s="75">
        <f ca="1">OFFSET(INDIRECT($H$24),ROW()-2,COLUMN()-1,1,1)/100</f>
        <v>6.1999999999999998E-3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7.5499999999999998E-2</v>
      </c>
      <c r="C40" s="75">
        <v>6.4899999999999999E-2</v>
      </c>
      <c r="D40" s="75">
        <v>4.2699999999999988E-2</v>
      </c>
      <c r="E40" s="75">
        <v>8.8999999999999999E-3</v>
      </c>
      <c r="F40" s="75">
        <v>8.8999999999999999E-3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4186</v>
      </c>
      <c r="C41" s="71">
        <v>3927</v>
      </c>
      <c r="D41" s="71">
        <v>2756</v>
      </c>
      <c r="E41" s="71">
        <v>593</v>
      </c>
      <c r="F41" s="71">
        <v>5017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57998</v>
      </c>
      <c r="C42" s="71">
        <v>63031</v>
      </c>
      <c r="D42" s="71">
        <v>66041</v>
      </c>
      <c r="E42" s="71">
        <v>66854</v>
      </c>
      <c r="F42" s="71">
        <v>66854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350</v>
      </c>
      <c r="C43" s="71">
        <v>300</v>
      </c>
      <c r="D43" s="71">
        <v>100</v>
      </c>
      <c r="E43" s="71">
        <v>100</v>
      </c>
      <c r="F43" s="71">
        <v>150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2.23E-2</v>
      </c>
      <c r="C44" s="75">
        <v>3.5299999999999998E-2</v>
      </c>
      <c r="D44" s="75">
        <v>1.3899999999999999E-2</v>
      </c>
      <c r="E44" s="75">
        <v>1.5599999999999999E-2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3045</v>
      </c>
      <c r="C51" s="71">
        <f t="shared" ca="1" si="5"/>
        <v>3002</v>
      </c>
      <c r="D51" s="71">
        <f t="shared" ca="1" si="5"/>
        <v>2859</v>
      </c>
      <c r="E51" s="71">
        <f t="shared" ca="1" si="5"/>
        <v>2599</v>
      </c>
      <c r="F51" s="71">
        <f t="shared" ca="1" si="5"/>
        <v>2599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2599</v>
      </c>
    </row>
    <row r="52" spans="1:11" x14ac:dyDescent="0.4">
      <c r="A52" s="72" t="str">
        <f t="shared" ca="1" si="5"/>
        <v>영업이익</v>
      </c>
      <c r="B52" s="71">
        <f t="shared" ca="1" si="5"/>
        <v>165</v>
      </c>
      <c r="C52" s="71">
        <f t="shared" ca="1" si="5"/>
        <v>177</v>
      </c>
      <c r="D52" s="71">
        <f t="shared" ca="1" si="5"/>
        <v>223</v>
      </c>
      <c r="E52" s="71">
        <f t="shared" ca="1" si="5"/>
        <v>97</v>
      </c>
      <c r="F52" s="71">
        <f t="shared" ca="1" si="5"/>
        <v>97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165</v>
      </c>
      <c r="C53" s="71">
        <f t="shared" ca="1" si="5"/>
        <v>177</v>
      </c>
      <c r="D53" s="71">
        <f t="shared" ca="1" si="5"/>
        <v>223</v>
      </c>
      <c r="E53" s="71">
        <f t="shared" ca="1" si="5"/>
        <v>97</v>
      </c>
      <c r="F53" s="71">
        <f t="shared" ca="1" si="5"/>
        <v>97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40</v>
      </c>
      <c r="C54" s="71">
        <f t="shared" ca="1" si="5"/>
        <v>36</v>
      </c>
      <c r="D54" s="71">
        <f t="shared" ca="1" si="5"/>
        <v>256</v>
      </c>
      <c r="E54" s="71">
        <f t="shared" ca="1" si="5"/>
        <v>248</v>
      </c>
      <c r="F54" s="71">
        <f t="shared" ca="1" si="5"/>
        <v>248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40</v>
      </c>
      <c r="C55" s="71">
        <f t="shared" ca="1" si="5"/>
        <v>37</v>
      </c>
      <c r="D55" s="71">
        <f t="shared" ca="1" si="5"/>
        <v>260</v>
      </c>
      <c r="E55" s="71">
        <f t="shared" ca="1" si="5"/>
        <v>260</v>
      </c>
      <c r="F55" s="71">
        <f t="shared" ca="1" si="5"/>
        <v>260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817</v>
      </c>
    </row>
    <row r="56" spans="1:11" x14ac:dyDescent="0.4">
      <c r="A56" s="72" t="str">
        <f t="shared" ca="1" si="5"/>
        <v>  비지배주주순이익</v>
      </c>
      <c r="B56" s="71">
        <f t="shared" ca="1" si="5"/>
        <v>1</v>
      </c>
      <c r="C56" s="71">
        <f t="shared" ca="1" si="5"/>
        <v>-1</v>
      </c>
      <c r="D56" s="71">
        <f t="shared" ca="1" si="5"/>
        <v>-4</v>
      </c>
      <c r="E56" s="71">
        <f t="shared" ca="1" si="5"/>
        <v>-4</v>
      </c>
      <c r="F56" s="71">
        <f t="shared" ca="1" si="5"/>
        <v>-4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23998</v>
      </c>
      <c r="C57" s="71">
        <f t="shared" ca="1" si="5"/>
        <v>24160</v>
      </c>
      <c r="D57" s="71">
        <f t="shared" ca="1" si="5"/>
        <v>22669</v>
      </c>
      <c r="E57" s="71">
        <f t="shared" ca="1" si="5"/>
        <v>22669</v>
      </c>
      <c r="F57" s="71">
        <f t="shared" ca="1" si="5"/>
        <v>22669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16161</v>
      </c>
      <c r="C58" s="71">
        <f t="shared" ca="1" si="5"/>
        <v>16298</v>
      </c>
      <c r="D58" s="71">
        <f t="shared" ca="1" si="5"/>
        <v>14538</v>
      </c>
      <c r="E58" s="71">
        <f t="shared" ca="1" si="5"/>
        <v>14538</v>
      </c>
      <c r="F58" s="71">
        <f t="shared" ca="1" si="5"/>
        <v>14538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7836</v>
      </c>
      <c r="C59" s="71">
        <f t="shared" ca="1" si="5"/>
        <v>7862</v>
      </c>
      <c r="D59" s="71">
        <f t="shared" ca="1" si="5"/>
        <v>8130</v>
      </c>
      <c r="E59" s="71">
        <f t="shared" ca="1" si="5"/>
        <v>8130</v>
      </c>
      <c r="F59" s="71">
        <f t="shared" ca="1" si="5"/>
        <v>8130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7767</v>
      </c>
      <c r="C60" s="71">
        <f t="shared" ca="1" si="5"/>
        <v>7799</v>
      </c>
      <c r="D60" s="71">
        <f t="shared" ca="1" si="5"/>
        <v>8069</v>
      </c>
      <c r="E60" s="71">
        <f t="shared" ca="1" si="5"/>
        <v>8069</v>
      </c>
      <c r="F60" s="71">
        <f t="shared" ca="1" si="5"/>
        <v>8069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7918</v>
      </c>
    </row>
    <row r="61" spans="1:11" x14ac:dyDescent="0.4">
      <c r="A61" s="72" t="str">
        <f t="shared" ca="1" si="5"/>
        <v>  비지배주주지분</v>
      </c>
      <c r="B61" s="71">
        <f t="shared" ca="1" si="5"/>
        <v>69</v>
      </c>
      <c r="C61" s="71">
        <f t="shared" ca="1" si="5"/>
        <v>63</v>
      </c>
      <c r="D61" s="71">
        <f t="shared" ca="1" si="5"/>
        <v>61</v>
      </c>
      <c r="E61" s="71">
        <f t="shared" ca="1" si="5"/>
        <v>61</v>
      </c>
      <c r="F61" s="71">
        <f t="shared" ca="1" si="5"/>
        <v>61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0.10318262187421066</v>
      </c>
    </row>
    <row r="62" spans="1:11" x14ac:dyDescent="0.4">
      <c r="A62" s="72" t="str">
        <f t="shared" ca="1" si="5"/>
        <v>자본금</v>
      </c>
      <c r="B62" s="71">
        <f t="shared" ca="1" si="5"/>
        <v>579</v>
      </c>
      <c r="C62" s="71">
        <f t="shared" ca="1" si="5"/>
        <v>579</v>
      </c>
      <c r="D62" s="71">
        <f t="shared" ca="1" si="5"/>
        <v>579</v>
      </c>
      <c r="E62" s="71">
        <f t="shared" ca="1" si="5"/>
        <v>579</v>
      </c>
      <c r="F62" s="71">
        <f t="shared" ca="1" si="5"/>
        <v>579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0.10318262187421066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8.8999999999999999E-3</v>
      </c>
      <c r="C85" s="75">
        <v>1.06E-2</v>
      </c>
      <c r="D85" s="75">
        <v>7.4700000000000003E-2</v>
      </c>
    </row>
    <row r="86" spans="1:9" x14ac:dyDescent="0.4">
      <c r="A86" s="9" t="s">
        <v>74</v>
      </c>
      <c r="B86" s="183">
        <v>10.78</v>
      </c>
      <c r="C86" s="183">
        <v>40.76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1.5599999999999999E-2</v>
      </c>
      <c r="C87" s="75">
        <v>2.3E-2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7.5499999999999998E-2</v>
      </c>
      <c r="F2" s="174">
        <f>Data!C40</f>
        <v>6.4899999999999999E-2</v>
      </c>
      <c r="G2" s="174">
        <f>Data!D40</f>
        <v>4.2699999999999988E-2</v>
      </c>
      <c r="H2" s="174">
        <f>Data!E40</f>
        <v>8.8999999999999999E-3</v>
      </c>
      <c r="I2" s="174">
        <f>Data!F40</f>
        <v>8.8999999999999999E-3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0.10318262187421066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6713</v>
      </c>
      <c r="F3" s="76">
        <f>Data!C36</f>
        <v>7295</v>
      </c>
      <c r="G3" s="76">
        <f>Data!D36</f>
        <v>7644</v>
      </c>
      <c r="H3" s="76">
        <f>Data!E36</f>
        <v>7738</v>
      </c>
      <c r="I3" s="76">
        <f>Data!F36</f>
        <v>7738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8069</v>
      </c>
    </row>
    <row r="4" spans="1:13" x14ac:dyDescent="0.4">
      <c r="A4" s="15" t="s">
        <v>384</v>
      </c>
      <c r="B4" s="13">
        <f ca="1">Data!B7+Data!C7</f>
        <v>11574274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484</v>
      </c>
      <c r="F5" s="76">
        <f>Data!C31</f>
        <v>455</v>
      </c>
      <c r="G5" s="76">
        <f>Data!D31</f>
        <v>319</v>
      </c>
      <c r="H5" s="76">
        <f>Data!E31</f>
        <v>69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817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1.453333333333333E-2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8069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3584.9567514225828</v>
      </c>
      <c r="C11" s="41">
        <f ca="1">C26</f>
        <v>30973.491308591645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5096.5629003917857</v>
      </c>
      <c r="C12" s="37">
        <f ca="1">C39</f>
        <v>44033.542841579401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6160.7348346725603</v>
      </c>
      <c r="C13" s="45">
        <f ca="1">C52</f>
        <v>53227.829535334655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-8.8066666666666668E-2</v>
      </c>
      <c r="C18" s="19">
        <f t="shared" ref="C18:L18" ca="1" si="2">IF(YEAR(C16)&gt;$J$7,0,B18*$B$15)</f>
        <v>-8.8066666666666668E-2</v>
      </c>
      <c r="D18" s="19">
        <f t="shared" ca="1" si="2"/>
        <v>-8.8066666666666668E-2</v>
      </c>
      <c r="E18" s="19">
        <f t="shared" ca="1" si="2"/>
        <v>-8.8066666666666668E-2</v>
      </c>
      <c r="F18" s="19">
        <f t="shared" ca="1" si="2"/>
        <v>-8.8066666666666668E-2</v>
      </c>
      <c r="G18" s="19">
        <f t="shared" ca="1" si="2"/>
        <v>-8.8066666666666668E-2</v>
      </c>
      <c r="H18" s="19">
        <f t="shared" ca="1" si="2"/>
        <v>-8.8066666666666668E-2</v>
      </c>
      <c r="I18" s="19">
        <f t="shared" ca="1" si="2"/>
        <v>-8.8066666666666668E-2</v>
      </c>
      <c r="J18" s="19">
        <f t="shared" ca="1" si="2"/>
        <v>-8.8066666666666668E-2</v>
      </c>
      <c r="K18" s="19">
        <f t="shared" ca="1" si="2"/>
        <v>-8.8066666666666668E-2</v>
      </c>
      <c r="L18" s="19">
        <f t="shared" ca="1" si="2"/>
        <v>-8.8066666666666668E-2</v>
      </c>
    </row>
    <row r="19" spans="1:12" x14ac:dyDescent="0.4">
      <c r="A19" s="15" t="s">
        <v>249</v>
      </c>
      <c r="B19" s="19">
        <f t="shared" ref="B19:L19" ca="1" si="3">B17+B18</f>
        <v>1.4533333333333329E-2</v>
      </c>
      <c r="C19" s="19">
        <f t="shared" ca="1" si="3"/>
        <v>1.4533333333333329E-2</v>
      </c>
      <c r="D19" s="19">
        <f t="shared" ca="1" si="3"/>
        <v>1.4533333333333329E-2</v>
      </c>
      <c r="E19" s="19">
        <f t="shared" ca="1" si="3"/>
        <v>1.4533333333333329E-2</v>
      </c>
      <c r="F19" s="19">
        <f t="shared" ca="1" si="3"/>
        <v>1.4533333333333329E-2</v>
      </c>
      <c r="G19" s="19">
        <f t="shared" ca="1" si="3"/>
        <v>1.4533333333333329E-2</v>
      </c>
      <c r="H19" s="19">
        <f t="shared" ca="1" si="3"/>
        <v>1.4533333333333329E-2</v>
      </c>
      <c r="I19" s="19">
        <f t="shared" ca="1" si="3"/>
        <v>1.4533333333333329E-2</v>
      </c>
      <c r="J19" s="19">
        <f t="shared" ca="1" si="3"/>
        <v>1.4533333333333329E-2</v>
      </c>
      <c r="K19" s="19">
        <f t="shared" ca="1" si="3"/>
        <v>1.4533333333333329E-2</v>
      </c>
      <c r="L19" s="19">
        <f t="shared" ca="1" si="3"/>
        <v>1.4533333333333329E-2</v>
      </c>
    </row>
    <row r="20" spans="1:12" x14ac:dyDescent="0.4">
      <c r="A20" s="15" t="s">
        <v>385</v>
      </c>
      <c r="B20" s="20"/>
      <c r="C20" s="20">
        <f t="shared" ref="C20:L20" ca="1" si="4">B21*C19</f>
        <v>117.26946666666663</v>
      </c>
      <c r="D20" s="20">
        <f t="shared" ca="1" si="4"/>
        <v>118.97378291555552</v>
      </c>
      <c r="E20" s="20">
        <f t="shared" ca="1" si="4"/>
        <v>120.70286856059491</v>
      </c>
      <c r="F20" s="20">
        <f t="shared" ca="1" si="4"/>
        <v>122.45708358367555</v>
      </c>
      <c r="G20" s="20">
        <f t="shared" ca="1" si="4"/>
        <v>124.23679319842496</v>
      </c>
      <c r="H20" s="20">
        <f t="shared" ca="1" si="4"/>
        <v>126.04236792624206</v>
      </c>
      <c r="I20" s="20">
        <f t="shared" ca="1" si="4"/>
        <v>127.87418367343678</v>
      </c>
      <c r="J20" s="20">
        <f t="shared" ca="1" si="4"/>
        <v>129.73262180949072</v>
      </c>
      <c r="K20" s="20">
        <f t="shared" ca="1" si="4"/>
        <v>131.61806924645535</v>
      </c>
      <c r="L20" s="20">
        <f t="shared" ca="1" si="4"/>
        <v>133.53091851950381</v>
      </c>
    </row>
    <row r="21" spans="1:12" x14ac:dyDescent="0.4">
      <c r="A21" s="15" t="s">
        <v>383</v>
      </c>
      <c r="B21" s="20">
        <f ca="1">$F$8</f>
        <v>8069</v>
      </c>
      <c r="C21" s="20">
        <f t="shared" ref="C21:L21" ca="1" si="5">B21+C20</f>
        <v>8186.2694666666666</v>
      </c>
      <c r="D21" s="20">
        <f t="shared" ca="1" si="5"/>
        <v>8305.2432495822213</v>
      </c>
      <c r="E21" s="20">
        <f t="shared" ca="1" si="5"/>
        <v>8425.946118142816</v>
      </c>
      <c r="F21" s="20">
        <f t="shared" ca="1" si="5"/>
        <v>8548.4032017264908</v>
      </c>
      <c r="G21" s="20">
        <f t="shared" ca="1" si="5"/>
        <v>8672.6399949249153</v>
      </c>
      <c r="H21" s="20">
        <f t="shared" ca="1" si="5"/>
        <v>8798.6823628511574</v>
      </c>
      <c r="I21" s="20">
        <f t="shared" ca="1" si="5"/>
        <v>8926.5565465245945</v>
      </c>
      <c r="J21" s="20">
        <f t="shared" ca="1" si="5"/>
        <v>9056.2891683340858</v>
      </c>
      <c r="K21" s="20">
        <f t="shared" ca="1" si="5"/>
        <v>9187.9072375805408</v>
      </c>
      <c r="L21" s="20">
        <f t="shared" ca="1" si="5"/>
        <v>9321.4381561000446</v>
      </c>
    </row>
    <row r="22" spans="1:12" x14ac:dyDescent="0.4">
      <c r="A22" s="15" t="s">
        <v>398</v>
      </c>
      <c r="B22" s="20"/>
      <c r="C22" s="20">
        <f t="shared" ref="C22:L22" ca="1" si="6">C20-B21*C17</f>
        <v>-710.60993333333329</v>
      </c>
      <c r="D22" s="20">
        <f t="shared" ca="1" si="6"/>
        <v>-720.93746436444451</v>
      </c>
      <c r="E22" s="20">
        <f t="shared" ca="1" si="6"/>
        <v>-731.41508884654104</v>
      </c>
      <c r="F22" s="20">
        <f t="shared" ca="1" si="6"/>
        <v>-742.04498813777741</v>
      </c>
      <c r="G22" s="20">
        <f t="shared" ca="1" si="6"/>
        <v>-752.82937529871299</v>
      </c>
      <c r="H22" s="20">
        <f t="shared" ca="1" si="6"/>
        <v>-763.77049555305427</v>
      </c>
      <c r="I22" s="20">
        <f t="shared" ca="1" si="6"/>
        <v>-774.87062675509196</v>
      </c>
      <c r="J22" s="20">
        <f t="shared" ca="1" si="6"/>
        <v>-786.13207986393263</v>
      </c>
      <c r="K22" s="20">
        <f t="shared" ca="1" si="6"/>
        <v>-797.5571994246219</v>
      </c>
      <c r="L22" s="20">
        <f t="shared" ca="1" si="6"/>
        <v>-809.14836405625965</v>
      </c>
    </row>
    <row r="23" spans="1:12" x14ac:dyDescent="0.4">
      <c r="A23" s="15" t="s">
        <v>399</v>
      </c>
      <c r="B23" s="62">
        <f ca="1">NPV($B$3,C22:L22)</f>
        <v>-4559.0329370700083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3509.9670629299917</v>
      </c>
      <c r="C25" s="63">
        <f ca="1">B25/(1+$B$3)^($H$8/365)</f>
        <v>3584.9567514225828</v>
      </c>
    </row>
    <row r="26" spans="1:12" x14ac:dyDescent="0.4">
      <c r="A26" s="15" t="s">
        <v>363</v>
      </c>
      <c r="B26" s="23">
        <f ca="1">B25*100000000/($B$4-$B$5)</f>
        <v>30325.591591576209</v>
      </c>
      <c r="C26" s="23">
        <f ca="1">B26/(1+$B$3)^($H$8/365)</f>
        <v>30973.491308591645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-8.8066666666666668E-2</v>
      </c>
      <c r="C31" s="19">
        <f t="shared" ref="C31:L31" ca="1" si="9">IF(YEAR(C16)&gt;$J$7,0,B31*$B$28)</f>
        <v>-7.9259999999999997E-2</v>
      </c>
      <c r="D31" s="19">
        <f t="shared" ca="1" si="9"/>
        <v>-7.1333999999999995E-2</v>
      </c>
      <c r="E31" s="19">
        <f t="shared" ca="1" si="9"/>
        <v>-6.4200599999999997E-2</v>
      </c>
      <c r="F31" s="19">
        <f t="shared" ca="1" si="9"/>
        <v>-5.7780539999999998E-2</v>
      </c>
      <c r="G31" s="19">
        <f t="shared" ca="1" si="9"/>
        <v>-5.2002486000000001E-2</v>
      </c>
      <c r="H31" s="19">
        <f t="shared" ca="1" si="9"/>
        <v>-4.6802237400000002E-2</v>
      </c>
      <c r="I31" s="19">
        <f t="shared" ca="1" si="9"/>
        <v>-4.2122013660000006E-2</v>
      </c>
      <c r="J31" s="19">
        <f t="shared" ca="1" si="9"/>
        <v>-3.7909812294000006E-2</v>
      </c>
      <c r="K31" s="19">
        <f t="shared" ca="1" si="9"/>
        <v>-3.4118831064600008E-2</v>
      </c>
      <c r="L31" s="19">
        <f t="shared" ca="1" si="9"/>
        <v>-3.0706947958140007E-2</v>
      </c>
    </row>
    <row r="32" spans="1:12" x14ac:dyDescent="0.4">
      <c r="A32" s="15" t="s">
        <v>249</v>
      </c>
      <c r="B32" s="19">
        <f t="shared" ref="B32:L32" ca="1" si="10">B30+B31</f>
        <v>1.4533333333333329E-2</v>
      </c>
      <c r="C32" s="19">
        <f t="shared" ca="1" si="10"/>
        <v>2.334E-2</v>
      </c>
      <c r="D32" s="19">
        <f t="shared" ca="1" si="10"/>
        <v>3.1266000000000002E-2</v>
      </c>
      <c r="E32" s="19">
        <f t="shared" ca="1" si="10"/>
        <v>3.83994E-2</v>
      </c>
      <c r="F32" s="19">
        <f t="shared" ca="1" si="10"/>
        <v>4.4819459999999998E-2</v>
      </c>
      <c r="G32" s="19">
        <f t="shared" ca="1" si="10"/>
        <v>5.0597513999999996E-2</v>
      </c>
      <c r="H32" s="19">
        <f t="shared" ca="1" si="10"/>
        <v>5.5797762599999995E-2</v>
      </c>
      <c r="I32" s="19">
        <f t="shared" ca="1" si="10"/>
        <v>6.0477986339999991E-2</v>
      </c>
      <c r="J32" s="19">
        <f t="shared" ca="1" si="10"/>
        <v>6.4690187705999991E-2</v>
      </c>
      <c r="K32" s="19">
        <f t="shared" ca="1" si="10"/>
        <v>6.8481168935399989E-2</v>
      </c>
      <c r="L32" s="19">
        <f t="shared" ca="1" si="10"/>
        <v>7.1893052041859987E-2</v>
      </c>
    </row>
    <row r="33" spans="1:12" x14ac:dyDescent="0.4">
      <c r="A33" s="15" t="s">
        <v>385</v>
      </c>
      <c r="B33" s="20"/>
      <c r="C33" s="20">
        <f t="shared" ref="C33:L33" ca="1" si="11">B34*C32</f>
        <v>188.33045999999999</v>
      </c>
      <c r="D33" s="20">
        <f t="shared" ca="1" si="11"/>
        <v>258.17369416235999</v>
      </c>
      <c r="E33" s="20">
        <f t="shared" ca="1" si="11"/>
        <v>326.99025021734212</v>
      </c>
      <c r="F33" s="20">
        <f t="shared" ca="1" si="11"/>
        <v>396.31582425731989</v>
      </c>
      <c r="G33" s="20">
        <f t="shared" ca="1" si="11"/>
        <v>467.46082988680485</v>
      </c>
      <c r="H33" s="20">
        <f t="shared" ca="1" si="11"/>
        <v>541.58820825476312</v>
      </c>
      <c r="I33" s="20">
        <f t="shared" ca="1" si="11"/>
        <v>619.76989275047777</v>
      </c>
      <c r="J33" s="20">
        <f t="shared" ca="1" si="11"/>
        <v>703.0289702491342</v>
      </c>
      <c r="K33" s="20">
        <f t="shared" ca="1" si="11"/>
        <v>792.37219407910015</v>
      </c>
      <c r="L33" s="20">
        <f t="shared" ca="1" si="11"/>
        <v>888.815982468166</v>
      </c>
    </row>
    <row r="34" spans="1:12" x14ac:dyDescent="0.4">
      <c r="A34" s="15" t="s">
        <v>383</v>
      </c>
      <c r="B34" s="20">
        <f ca="1">$F$8</f>
        <v>8069</v>
      </c>
      <c r="C34" s="20">
        <f t="shared" ref="C34:L34" ca="1" si="12">B34+C33</f>
        <v>8257.3304599999992</v>
      </c>
      <c r="D34" s="20">
        <f t="shared" ca="1" si="12"/>
        <v>8515.5041541623596</v>
      </c>
      <c r="E34" s="20">
        <f t="shared" ca="1" si="12"/>
        <v>8842.4944043797022</v>
      </c>
      <c r="F34" s="20">
        <f t="shared" ca="1" si="12"/>
        <v>9238.8102286370213</v>
      </c>
      <c r="G34" s="20">
        <f t="shared" ca="1" si="12"/>
        <v>9706.2710585238256</v>
      </c>
      <c r="H34" s="20">
        <f t="shared" ca="1" si="12"/>
        <v>10247.859266778589</v>
      </c>
      <c r="I34" s="20">
        <f t="shared" ca="1" si="12"/>
        <v>10867.629159529066</v>
      </c>
      <c r="J34" s="20">
        <f t="shared" ca="1" si="12"/>
        <v>11570.6581297782</v>
      </c>
      <c r="K34" s="20">
        <f t="shared" ca="1" si="12"/>
        <v>12363.0303238573</v>
      </c>
      <c r="L34" s="20">
        <f t="shared" ca="1" si="12"/>
        <v>13251.846306325466</v>
      </c>
    </row>
    <row r="35" spans="1:12" x14ac:dyDescent="0.4">
      <c r="A35" s="15" t="s">
        <v>398</v>
      </c>
      <c r="B35" s="20"/>
      <c r="C35" s="20">
        <f t="shared" ref="C35:L35" ca="1" si="13">C33-B34*C30</f>
        <v>-639.5489399999999</v>
      </c>
      <c r="D35" s="20">
        <f t="shared" ca="1" si="13"/>
        <v>-589.02841103363994</v>
      </c>
      <c r="E35" s="20">
        <f t="shared" ca="1" si="13"/>
        <v>-546.70047599971599</v>
      </c>
      <c r="F35" s="20">
        <f t="shared" ca="1" si="13"/>
        <v>-510.92410163203755</v>
      </c>
      <c r="G35" s="20">
        <f t="shared" ca="1" si="13"/>
        <v>-480.44109957135356</v>
      </c>
      <c r="H35" s="20">
        <f t="shared" ca="1" si="13"/>
        <v>-454.27520234978135</v>
      </c>
      <c r="I35" s="20">
        <f t="shared" ca="1" si="13"/>
        <v>-431.6604680210055</v>
      </c>
      <c r="J35" s="20">
        <f t="shared" ca="1" si="13"/>
        <v>-411.98978151854783</v>
      </c>
      <c r="K35" s="20">
        <f t="shared" ca="1" si="13"/>
        <v>-394.77733003614298</v>
      </c>
      <c r="L35" s="20">
        <f t="shared" ca="1" si="13"/>
        <v>-379.63092875959285</v>
      </c>
    </row>
    <row r="36" spans="1:12" x14ac:dyDescent="0.4">
      <c r="A36" s="15" t="s">
        <v>399</v>
      </c>
      <c r="B36" s="62">
        <f ca="1">NPV($B$3,C35:L35)</f>
        <v>-3079.0463813329147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4989.9536186670848</v>
      </c>
      <c r="C38" s="63">
        <f ca="1">B38/(1+$B$3)^($H$8/365)</f>
        <v>5096.5629003917857</v>
      </c>
    </row>
    <row r="39" spans="1:12" x14ac:dyDescent="0.4">
      <c r="A39" s="15" t="s">
        <v>363</v>
      </c>
      <c r="B39" s="23">
        <f ca="1">B38*100000000/($B$4-$B$5)</f>
        <v>43112.45455798856</v>
      </c>
      <c r="C39" s="23">
        <f ca="1">B39/(1+$B$3)^($H$8/365)</f>
        <v>44033.542841579401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-8.8066666666666668E-2</v>
      </c>
      <c r="C44" s="19">
        <f t="shared" ref="C44:L44" ca="1" si="16">IF(YEAR(C16)&gt;$J$7,0,B44*$B$41)</f>
        <v>-7.045333333333334E-2</v>
      </c>
      <c r="D44" s="19">
        <f t="shared" ca="1" si="16"/>
        <v>-5.6362666666666672E-2</v>
      </c>
      <c r="E44" s="19">
        <f t="shared" ca="1" si="16"/>
        <v>-4.5090133333333338E-2</v>
      </c>
      <c r="F44" s="19">
        <f t="shared" ca="1" si="16"/>
        <v>-3.6072106666666673E-2</v>
      </c>
      <c r="G44" s="19">
        <f t="shared" ca="1" si="16"/>
        <v>-2.8857685333333341E-2</v>
      </c>
      <c r="H44" s="19">
        <f t="shared" ca="1" si="16"/>
        <v>-2.3086148266666676E-2</v>
      </c>
      <c r="I44" s="19">
        <f t="shared" ca="1" si="16"/>
        <v>-1.846891861333334E-2</v>
      </c>
      <c r="J44" s="19">
        <f t="shared" ca="1" si="16"/>
        <v>-1.4775134890666673E-2</v>
      </c>
      <c r="K44" s="19">
        <f t="shared" ca="1" si="16"/>
        <v>-1.1820107912533339E-2</v>
      </c>
      <c r="L44" s="19">
        <f t="shared" ca="1" si="16"/>
        <v>-9.4560863300266716E-3</v>
      </c>
    </row>
    <row r="45" spans="1:12" x14ac:dyDescent="0.4">
      <c r="A45" s="15" t="s">
        <v>249</v>
      </c>
      <c r="B45" s="19">
        <f t="shared" ref="B45:L45" ca="1" si="17">B43+B44</f>
        <v>1.4533333333333329E-2</v>
      </c>
      <c r="C45" s="19">
        <f t="shared" ca="1" si="17"/>
        <v>3.2146666666666657E-2</v>
      </c>
      <c r="D45" s="19">
        <f t="shared" ca="1" si="17"/>
        <v>4.6237333333333325E-2</v>
      </c>
      <c r="E45" s="19">
        <f t="shared" ca="1" si="17"/>
        <v>5.7509866666666659E-2</v>
      </c>
      <c r="F45" s="19">
        <f t="shared" ca="1" si="17"/>
        <v>6.6527893333333324E-2</v>
      </c>
      <c r="G45" s="19">
        <f t="shared" ca="1" si="17"/>
        <v>7.3742314666666656E-2</v>
      </c>
      <c r="H45" s="19">
        <f t="shared" ca="1" si="17"/>
        <v>7.9513851733333321E-2</v>
      </c>
      <c r="I45" s="19">
        <f t="shared" ca="1" si="17"/>
        <v>8.4131081386666653E-2</v>
      </c>
      <c r="J45" s="19">
        <f t="shared" ca="1" si="17"/>
        <v>8.7824865109333322E-2</v>
      </c>
      <c r="K45" s="19">
        <f t="shared" ca="1" si="17"/>
        <v>9.077989208746666E-2</v>
      </c>
      <c r="L45" s="19">
        <f t="shared" ca="1" si="17"/>
        <v>9.3143913669973322E-2</v>
      </c>
    </row>
    <row r="46" spans="1:12" x14ac:dyDescent="0.4">
      <c r="A46" s="15" t="s">
        <v>385</v>
      </c>
      <c r="B46" s="20"/>
      <c r="C46" s="20">
        <f t="shared" ref="C46:L46" ca="1" si="18">B47*C45</f>
        <v>259.39145333333323</v>
      </c>
      <c r="D46" s="20">
        <f t="shared" ca="1" si="18"/>
        <v>385.08261175825771</v>
      </c>
      <c r="E46" s="20">
        <f t="shared" ca="1" si="18"/>
        <v>501.1107316868754</v>
      </c>
      <c r="F46" s="20">
        <f t="shared" ca="1" si="18"/>
        <v>613.0269144710328</v>
      </c>
      <c r="G46" s="20">
        <f t="shared" ca="1" si="18"/>
        <v>724.710835232779</v>
      </c>
      <c r="H46" s="20">
        <f t="shared" ca="1" si="18"/>
        <v>839.05581040330219</v>
      </c>
      <c r="I46" s="20">
        <f t="shared" ca="1" si="18"/>
        <v>958.36897964945388</v>
      </c>
      <c r="J46" s="20">
        <f t="shared" ca="1" si="18"/>
        <v>1084.6148939655379</v>
      </c>
      <c r="K46" s="20">
        <f t="shared" ca="1" si="18"/>
        <v>1219.5699535487799</v>
      </c>
      <c r="L46" s="20">
        <f t="shared" ca="1" si="18"/>
        <v>1364.9245942767366</v>
      </c>
    </row>
    <row r="47" spans="1:12" x14ac:dyDescent="0.4">
      <c r="A47" s="15" t="s">
        <v>383</v>
      </c>
      <c r="B47" s="20">
        <f ca="1">$F$8</f>
        <v>8069</v>
      </c>
      <c r="C47" s="20">
        <f t="shared" ref="C47:L47" ca="1" si="19">B47+C46</f>
        <v>8328.3914533333336</v>
      </c>
      <c r="D47" s="20">
        <f t="shared" ca="1" si="19"/>
        <v>8713.4740650915919</v>
      </c>
      <c r="E47" s="20">
        <f t="shared" ca="1" si="19"/>
        <v>9214.5847967784666</v>
      </c>
      <c r="F47" s="20">
        <f t="shared" ca="1" si="19"/>
        <v>9827.6117112494994</v>
      </c>
      <c r="G47" s="20">
        <f t="shared" ca="1" si="19"/>
        <v>10552.322546482279</v>
      </c>
      <c r="H47" s="20">
        <f t="shared" ca="1" si="19"/>
        <v>11391.378356885582</v>
      </c>
      <c r="I47" s="20">
        <f t="shared" ca="1" si="19"/>
        <v>12349.747336535036</v>
      </c>
      <c r="J47" s="20">
        <f t="shared" ca="1" si="19"/>
        <v>13434.362230500574</v>
      </c>
      <c r="K47" s="20">
        <f t="shared" ca="1" si="19"/>
        <v>14653.932184049354</v>
      </c>
      <c r="L47" s="20">
        <f t="shared" ca="1" si="19"/>
        <v>16018.856778326091</v>
      </c>
    </row>
    <row r="48" spans="1:12" x14ac:dyDescent="0.4">
      <c r="A48" s="15" t="s">
        <v>398</v>
      </c>
      <c r="B48" s="20"/>
      <c r="C48" s="20">
        <f t="shared" ref="C48:L48" ca="1" si="20">C46-B47*C43</f>
        <v>-568.48794666666663</v>
      </c>
      <c r="D48" s="20">
        <f t="shared" ca="1" si="20"/>
        <v>-469.41035135374227</v>
      </c>
      <c r="E48" s="20">
        <f t="shared" ca="1" si="20"/>
        <v>-392.89170739152189</v>
      </c>
      <c r="F48" s="20">
        <f t="shared" ca="1" si="20"/>
        <v>-332.38948567843784</v>
      </c>
      <c r="G48" s="20">
        <f t="shared" ca="1" si="20"/>
        <v>-283.60212634141965</v>
      </c>
      <c r="H48" s="20">
        <f t="shared" ca="1" si="20"/>
        <v>-243.6124828657795</v>
      </c>
      <c r="I48" s="20">
        <f t="shared" ca="1" si="20"/>
        <v>-210.38643976700678</v>
      </c>
      <c r="J48" s="20">
        <f t="shared" ca="1" si="20"/>
        <v>-182.46918276295673</v>
      </c>
      <c r="K48" s="20">
        <f t="shared" ca="1" si="20"/>
        <v>-158.79561130057891</v>
      </c>
      <c r="L48" s="20">
        <f t="shared" ca="1" si="20"/>
        <v>-138.56884780672704</v>
      </c>
    </row>
    <row r="49" spans="1:19" x14ac:dyDescent="0.4">
      <c r="A49" s="15" t="s">
        <v>399</v>
      </c>
      <c r="B49" s="62">
        <f ca="1">NPV($B$3,C48:L48)</f>
        <v>-2037.1346659020905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6031.865334097909</v>
      </c>
      <c r="C51" s="63">
        <f ca="1">B51/(1+$B$3)^($H$8/365)</f>
        <v>6160.7348346725603</v>
      </c>
    </row>
    <row r="52" spans="1:19" x14ac:dyDescent="0.4">
      <c r="A52" s="15" t="s">
        <v>363</v>
      </c>
      <c r="B52" s="23">
        <f ca="1">B51*100000000/($B$4-$B$5)</f>
        <v>52114.416283024824</v>
      </c>
      <c r="C52" s="23">
        <f ca="1">B52/(1+$B$3)^($H$8/365)</f>
        <v>53227.829535334655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484</v>
      </c>
      <c r="C56" s="76">
        <f t="shared" si="22"/>
        <v>455</v>
      </c>
      <c r="D56" s="76">
        <f t="shared" si="22"/>
        <v>319</v>
      </c>
      <c r="E56" s="76">
        <f t="shared" si="22"/>
        <v>69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117.26946666666663</v>
      </c>
      <c r="K56" s="179">
        <f t="shared" ca="1" si="24"/>
        <v>118.97378291555552</v>
      </c>
      <c r="L56" s="179">
        <f t="shared" ca="1" si="24"/>
        <v>120.70286856059491</v>
      </c>
      <c r="M56" s="179">
        <f t="shared" ca="1" si="24"/>
        <v>122.45708358367555</v>
      </c>
      <c r="N56" s="179">
        <f t="shared" ca="1" si="24"/>
        <v>124.23679319842496</v>
      </c>
      <c r="O56" s="179">
        <f t="shared" ca="1" si="24"/>
        <v>126.04236792624206</v>
      </c>
      <c r="P56" s="179">
        <f t="shared" ca="1" si="24"/>
        <v>127.87418367343678</v>
      </c>
      <c r="Q56" s="179">
        <f t="shared" ca="1" si="24"/>
        <v>129.73262180949072</v>
      </c>
      <c r="R56" s="179">
        <f t="shared" ca="1" si="24"/>
        <v>131.61806924645535</v>
      </c>
      <c r="S56" s="179">
        <f t="shared" ca="1" si="24"/>
        <v>133.53091851950381</v>
      </c>
    </row>
    <row r="57" spans="1:19" x14ac:dyDescent="0.4">
      <c r="A57" s="1" t="s">
        <v>403</v>
      </c>
      <c r="B57" s="76">
        <f t="shared" ref="B57:I57" si="25">E5</f>
        <v>484</v>
      </c>
      <c r="C57" s="76">
        <f t="shared" si="25"/>
        <v>455</v>
      </c>
      <c r="D57" s="76">
        <f t="shared" si="25"/>
        <v>319</v>
      </c>
      <c r="E57" s="76">
        <f t="shared" si="25"/>
        <v>69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188.33045999999999</v>
      </c>
      <c r="K57" s="179">
        <f t="shared" ca="1" si="26"/>
        <v>258.17369416235999</v>
      </c>
      <c r="L57" s="179">
        <f t="shared" ca="1" si="26"/>
        <v>326.99025021734212</v>
      </c>
      <c r="M57" s="179">
        <f t="shared" ca="1" si="26"/>
        <v>396.31582425731989</v>
      </c>
      <c r="N57" s="179">
        <f t="shared" ca="1" si="26"/>
        <v>467.46082988680485</v>
      </c>
      <c r="O57" s="179">
        <f t="shared" ca="1" si="26"/>
        <v>541.58820825476312</v>
      </c>
      <c r="P57" s="179">
        <f t="shared" ca="1" si="26"/>
        <v>619.76989275047777</v>
      </c>
      <c r="Q57" s="179">
        <f t="shared" ca="1" si="26"/>
        <v>703.0289702491342</v>
      </c>
      <c r="R57" s="179">
        <f t="shared" ca="1" si="26"/>
        <v>792.37219407910015</v>
      </c>
      <c r="S57" s="179">
        <f t="shared" ca="1" si="26"/>
        <v>888.815982468166</v>
      </c>
    </row>
    <row r="58" spans="1:19" x14ac:dyDescent="0.4">
      <c r="A58" s="1" t="s">
        <v>404</v>
      </c>
      <c r="B58" s="76">
        <f t="shared" ref="B58:I58" si="27">E5</f>
        <v>484</v>
      </c>
      <c r="C58" s="76">
        <f t="shared" si="27"/>
        <v>455</v>
      </c>
      <c r="D58" s="76">
        <f t="shared" si="27"/>
        <v>319</v>
      </c>
      <c r="E58" s="76">
        <f t="shared" si="27"/>
        <v>69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259.39145333333323</v>
      </c>
      <c r="K58" s="179">
        <f t="shared" ca="1" si="28"/>
        <v>385.08261175825771</v>
      </c>
      <c r="L58" s="179">
        <f t="shared" ca="1" si="28"/>
        <v>501.1107316868754</v>
      </c>
      <c r="M58" s="179">
        <f t="shared" ca="1" si="28"/>
        <v>613.0269144710328</v>
      </c>
      <c r="N58" s="179">
        <f t="shared" ca="1" si="28"/>
        <v>724.710835232779</v>
      </c>
      <c r="O58" s="179">
        <f t="shared" ca="1" si="28"/>
        <v>839.05581040330219</v>
      </c>
      <c r="P58" s="179">
        <f t="shared" ca="1" si="28"/>
        <v>958.36897964945388</v>
      </c>
      <c r="Q58" s="179">
        <f t="shared" ca="1" si="28"/>
        <v>1084.6148939655379</v>
      </c>
      <c r="R58" s="179">
        <f t="shared" ca="1" si="28"/>
        <v>1219.5699535487799</v>
      </c>
      <c r="S58" s="179">
        <f t="shared" ca="1" si="28"/>
        <v>1364.9245942767366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484</v>
      </c>
      <c r="C62" s="76">
        <f t="shared" si="30"/>
        <v>455</v>
      </c>
      <c r="D62" s="76">
        <f t="shared" si="30"/>
        <v>319</v>
      </c>
      <c r="E62" s="76">
        <f t="shared" si="30"/>
        <v>69</v>
      </c>
      <c r="F62" s="76">
        <f t="shared" si="30"/>
        <v>0</v>
      </c>
      <c r="G62" s="76">
        <f t="shared" ca="1" si="30"/>
        <v>117.26946666666663</v>
      </c>
      <c r="H62" s="76">
        <f t="shared" ca="1" si="30"/>
        <v>118.97378291555552</v>
      </c>
      <c r="I62" s="76">
        <f t="shared" ca="1" si="30"/>
        <v>120.70286856059491</v>
      </c>
      <c r="J62" s="76">
        <f t="shared" ca="1" si="30"/>
        <v>122.45708358367555</v>
      </c>
      <c r="K62" s="76">
        <f t="shared" ca="1" si="30"/>
        <v>124.23679319842496</v>
      </c>
      <c r="L62" s="76">
        <f t="shared" ca="1" si="30"/>
        <v>126.04236792624206</v>
      </c>
      <c r="M62" s="76">
        <f t="shared" ca="1" si="30"/>
        <v>127.87418367343678</v>
      </c>
      <c r="N62" s="76">
        <f t="shared" ca="1" si="30"/>
        <v>129.73262180949072</v>
      </c>
      <c r="O62" s="76">
        <f t="shared" ca="1" si="30"/>
        <v>131.61806924645535</v>
      </c>
      <c r="P62" s="76">
        <f t="shared" ca="1" si="30"/>
        <v>133.53091851950381</v>
      </c>
    </row>
    <row r="63" spans="1:19" x14ac:dyDescent="0.4">
      <c r="A63" s="1" t="s">
        <v>403</v>
      </c>
      <c r="B63" s="76">
        <f t="shared" ref="B63:P63" si="31">HLOOKUP(B$60,$B$54:$S$58,4,FALSE)</f>
        <v>484</v>
      </c>
      <c r="C63" s="76">
        <f t="shared" si="31"/>
        <v>455</v>
      </c>
      <c r="D63" s="76">
        <f t="shared" si="31"/>
        <v>319</v>
      </c>
      <c r="E63" s="76">
        <f t="shared" si="31"/>
        <v>69</v>
      </c>
      <c r="F63" s="76">
        <f t="shared" si="31"/>
        <v>0</v>
      </c>
      <c r="G63" s="76">
        <f t="shared" ca="1" si="31"/>
        <v>188.33045999999999</v>
      </c>
      <c r="H63" s="76">
        <f t="shared" ca="1" si="31"/>
        <v>258.17369416235999</v>
      </c>
      <c r="I63" s="76">
        <f t="shared" ca="1" si="31"/>
        <v>326.99025021734212</v>
      </c>
      <c r="J63" s="76">
        <f t="shared" ca="1" si="31"/>
        <v>396.31582425731989</v>
      </c>
      <c r="K63" s="76">
        <f t="shared" ca="1" si="31"/>
        <v>467.46082988680485</v>
      </c>
      <c r="L63" s="76">
        <f t="shared" ca="1" si="31"/>
        <v>541.58820825476312</v>
      </c>
      <c r="M63" s="76">
        <f t="shared" ca="1" si="31"/>
        <v>619.76989275047777</v>
      </c>
      <c r="N63" s="76">
        <f t="shared" ca="1" si="31"/>
        <v>703.0289702491342</v>
      </c>
      <c r="O63" s="76">
        <f t="shared" ca="1" si="31"/>
        <v>792.37219407910015</v>
      </c>
      <c r="P63" s="76">
        <f t="shared" ca="1" si="31"/>
        <v>888.815982468166</v>
      </c>
    </row>
    <row r="64" spans="1:19" x14ac:dyDescent="0.4">
      <c r="A64" s="1" t="s">
        <v>404</v>
      </c>
      <c r="B64" s="76">
        <f t="shared" ref="B64:P64" si="32">HLOOKUP(B$60,$B$54:$S$58,5,FALSE)</f>
        <v>484</v>
      </c>
      <c r="C64" s="76">
        <f t="shared" si="32"/>
        <v>455</v>
      </c>
      <c r="D64" s="76">
        <f t="shared" si="32"/>
        <v>319</v>
      </c>
      <c r="E64" s="76">
        <f t="shared" si="32"/>
        <v>69</v>
      </c>
      <c r="F64" s="76">
        <f t="shared" si="32"/>
        <v>0</v>
      </c>
      <c r="G64" s="76">
        <f t="shared" ca="1" si="32"/>
        <v>259.39145333333323</v>
      </c>
      <c r="H64" s="76">
        <f t="shared" ca="1" si="32"/>
        <v>385.08261175825771</v>
      </c>
      <c r="I64" s="76">
        <f t="shared" ca="1" si="32"/>
        <v>501.1107316868754</v>
      </c>
      <c r="J64" s="76">
        <f t="shared" ca="1" si="32"/>
        <v>613.0269144710328</v>
      </c>
      <c r="K64" s="76">
        <f t="shared" ca="1" si="32"/>
        <v>724.710835232779</v>
      </c>
      <c r="L64" s="76">
        <f t="shared" ca="1" si="32"/>
        <v>839.05581040330219</v>
      </c>
      <c r="M64" s="76">
        <f t="shared" ca="1" si="32"/>
        <v>958.36897964945388</v>
      </c>
      <c r="N64" s="76">
        <f t="shared" ca="1" si="32"/>
        <v>1084.6148939655379</v>
      </c>
      <c r="O64" s="76">
        <f t="shared" ca="1" si="32"/>
        <v>1219.5699535487799</v>
      </c>
      <c r="P64" s="76">
        <f t="shared" ca="1" si="32"/>
        <v>1364.9245942767366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2026-03-20T06:10:27Z</dcterms:modified>
</cp:coreProperties>
</file>