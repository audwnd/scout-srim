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3528AB5A-A4D8-4DE7-B5E1-A20441B3D962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B105" i="6"/>
  <c r="B101" i="6"/>
  <c r="B88" i="6"/>
  <c r="C88" i="6" s="1"/>
  <c r="D88" i="6" s="1"/>
  <c r="A79" i="6"/>
  <c r="H78" i="6"/>
  <c r="E77" i="6"/>
  <c r="D77" i="6"/>
  <c r="C77" i="6"/>
  <c r="B77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G73" i="6"/>
  <c r="E73" i="6"/>
  <c r="D73" i="6"/>
  <c r="C73" i="6"/>
  <c r="B73" i="6"/>
  <c r="L72" i="6"/>
  <c r="L71" i="6"/>
  <c r="L70" i="6" s="1"/>
  <c r="C78" i="6" s="1"/>
  <c r="E71" i="6"/>
  <c r="F71" i="6" s="1"/>
  <c r="D70" i="6"/>
  <c r="C70" i="6"/>
  <c r="B70" i="6" s="1"/>
  <c r="B66" i="6"/>
  <c r="B55" i="6"/>
  <c r="B51" i="6"/>
  <c r="B43" i="6"/>
  <c r="B39" i="6"/>
  <c r="B40" i="6" s="1"/>
  <c r="C40" i="6" s="1"/>
  <c r="B31" i="6"/>
  <c r="B27" i="6"/>
  <c r="C27" i="6" s="1"/>
  <c r="D27" i="6" s="1"/>
  <c r="B14" i="6"/>
  <c r="G13" i="6"/>
  <c r="B8" i="6"/>
  <c r="B11" i="6" s="1"/>
  <c r="C14" i="6" s="1"/>
  <c r="D62" i="5"/>
  <c r="D58" i="5"/>
  <c r="D64" i="5" s="1"/>
  <c r="C58" i="5"/>
  <c r="C64" i="5" s="1"/>
  <c r="D57" i="5"/>
  <c r="D63" i="5" s="1"/>
  <c r="G56" i="5"/>
  <c r="H55" i="5"/>
  <c r="H54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B16" i="5"/>
  <c r="C16" i="5" s="1"/>
  <c r="H7" i="5"/>
  <c r="H8" i="5" s="1"/>
  <c r="K5" i="5"/>
  <c r="H56" i="5" s="1"/>
  <c r="J5" i="5"/>
  <c r="G58" i="5" s="1"/>
  <c r="I5" i="5"/>
  <c r="F58" i="5" s="1"/>
  <c r="F64" i="5" s="1"/>
  <c r="H5" i="5"/>
  <c r="G5" i="5"/>
  <c r="D56" i="5" s="1"/>
  <c r="F5" i="5"/>
  <c r="E5" i="5"/>
  <c r="K4" i="5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K3" i="5"/>
  <c r="J3" i="5"/>
  <c r="I3" i="5"/>
  <c r="H3" i="5"/>
  <c r="G3" i="5"/>
  <c r="F3" i="5"/>
  <c r="E3" i="5"/>
  <c r="B3" i="5"/>
  <c r="B43" i="5" s="1"/>
  <c r="K2" i="5"/>
  <c r="J2" i="5"/>
  <c r="I2" i="5"/>
  <c r="H2" i="5"/>
  <c r="G2" i="5"/>
  <c r="F2" i="5"/>
  <c r="E2" i="5"/>
  <c r="B2" i="5"/>
  <c r="G82" i="4"/>
  <c r="H82" i="4" s="1"/>
  <c r="G66" i="4"/>
  <c r="H66" i="4" s="1"/>
  <c r="I26" i="4"/>
  <c r="L4" i="5" s="1"/>
  <c r="I55" i="5" s="1"/>
  <c r="I54" i="5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D34" i="3"/>
  <c r="C34" i="3"/>
  <c r="C39" i="3" s="1"/>
  <c r="D24" i="3"/>
  <c r="C24" i="3"/>
  <c r="D23" i="3"/>
  <c r="C23" i="3"/>
  <c r="G22" i="3"/>
  <c r="F22" i="3"/>
  <c r="E22" i="3"/>
  <c r="D22" i="3"/>
  <c r="C22" i="3"/>
  <c r="G21" i="3"/>
  <c r="G33" i="3" s="1"/>
  <c r="F21" i="3"/>
  <c r="F33" i="3" s="1"/>
  <c r="E21" i="3"/>
  <c r="E33" i="3" s="1"/>
  <c r="D21" i="3"/>
  <c r="D33" i="3" s="1"/>
  <c r="C21" i="3"/>
  <c r="C33" i="3" s="1"/>
  <c r="I20" i="3"/>
  <c r="E20" i="3" s="1"/>
  <c r="C17" i="3"/>
  <c r="AF10" i="3"/>
  <c r="B116" i="2"/>
  <c r="I6" i="4"/>
  <c r="I5" i="4"/>
  <c r="B71" i="4"/>
  <c r="G70" i="4"/>
  <c r="I17" i="4"/>
  <c r="D70" i="4"/>
  <c r="F74" i="4"/>
  <c r="C74" i="4"/>
  <c r="H73" i="4"/>
  <c r="I73" i="4"/>
  <c r="E70" i="4"/>
  <c r="A76" i="4"/>
  <c r="A69" i="4"/>
  <c r="E72" i="4"/>
  <c r="B70" i="4"/>
  <c r="C76" i="4"/>
  <c r="H75" i="4"/>
  <c r="G75" i="4"/>
  <c r="I7" i="4"/>
  <c r="F75" i="4"/>
  <c r="D72" i="4"/>
  <c r="I16" i="4"/>
  <c r="F69" i="4"/>
  <c r="A74" i="4"/>
  <c r="E73" i="4"/>
  <c r="I19" i="4"/>
  <c r="D76" i="4"/>
  <c r="A70" i="4"/>
  <c r="C69" i="4"/>
  <c r="I8" i="4"/>
  <c r="I72" i="4"/>
  <c r="G72" i="4"/>
  <c r="I18" i="4"/>
  <c r="F72" i="4"/>
  <c r="C70" i="4"/>
  <c r="A13" i="4"/>
  <c r="I21" i="4"/>
  <c r="I20" i="4"/>
  <c r="B4" i="4"/>
  <c r="H61" i="4"/>
  <c r="F56" i="5" l="1"/>
  <c r="F62" i="5" s="1"/>
  <c r="F39" i="3"/>
  <c r="H58" i="5"/>
  <c r="H57" i="5"/>
  <c r="G57" i="5"/>
  <c r="E23" i="3"/>
  <c r="G39" i="3"/>
  <c r="B28" i="6"/>
  <c r="C28" i="6" s="1"/>
  <c r="K21" i="3"/>
  <c r="D39" i="3"/>
  <c r="C39" i="6"/>
  <c r="D39" i="6" s="1"/>
  <c r="C4" i="3"/>
  <c r="B20" i="4"/>
  <c r="B21" i="4"/>
  <c r="B11" i="3"/>
  <c r="B18" i="4"/>
  <c r="B8" i="4"/>
  <c r="B19" i="4"/>
  <c r="B16" i="4"/>
  <c r="C7" i="4"/>
  <c r="E5" i="3" s="1"/>
  <c r="B7" i="4"/>
  <c r="B17" i="4"/>
  <c r="B5" i="4"/>
  <c r="C5" i="3" s="1"/>
  <c r="C27" i="3" s="1"/>
  <c r="B6" i="4"/>
  <c r="C6" i="3" s="1"/>
  <c r="J54" i="5"/>
  <c r="G61" i="5"/>
  <c r="B16" i="6"/>
  <c r="C16" i="6" s="1"/>
  <c r="B15" i="6"/>
  <c r="C15" i="6" s="1"/>
  <c r="E39" i="6"/>
  <c r="E88" i="6"/>
  <c r="D40" i="6"/>
  <c r="E40" i="6" s="1"/>
  <c r="F40" i="6" s="1"/>
  <c r="G40" i="6" s="1"/>
  <c r="H40" i="6" s="1"/>
  <c r="I40" i="6" s="1"/>
  <c r="J40" i="6" s="1"/>
  <c r="K40" i="6" s="1"/>
  <c r="L40" i="6" s="1"/>
  <c r="D16" i="5"/>
  <c r="J55" i="5"/>
  <c r="C30" i="5"/>
  <c r="C101" i="6"/>
  <c r="B29" i="6"/>
  <c r="B41" i="6"/>
  <c r="B89" i="6"/>
  <c r="F79" i="6"/>
  <c r="B102" i="6"/>
  <c r="B115" i="6"/>
  <c r="B57" i="5"/>
  <c r="B63" i="5" s="1"/>
  <c r="B56" i="5"/>
  <c r="B62" i="5" s="1"/>
  <c r="B58" i="5"/>
  <c r="B64" i="5" s="1"/>
  <c r="C57" i="5"/>
  <c r="C63" i="5" s="1"/>
  <c r="C56" i="5"/>
  <c r="C62" i="5" s="1"/>
  <c r="F57" i="5"/>
  <c r="F63" i="5" s="1"/>
  <c r="B52" i="6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53" i="6"/>
  <c r="C51" i="6"/>
  <c r="E39" i="3"/>
  <c r="H39" i="3"/>
  <c r="E56" i="5"/>
  <c r="E62" i="5" s="1"/>
  <c r="E57" i="5"/>
  <c r="E63" i="5" s="1"/>
  <c r="E58" i="5"/>
  <c r="E64" i="5" s="1"/>
  <c r="E114" i="6"/>
  <c r="E27" i="6"/>
  <c r="C17" i="5"/>
  <c r="C43" i="5"/>
  <c r="I51" i="4"/>
  <c r="I37" i="4"/>
  <c r="A58" i="4"/>
  <c r="F39" i="4"/>
  <c r="C50" i="4"/>
  <c r="I42" i="4"/>
  <c r="I28" i="4"/>
  <c r="D53" i="4"/>
  <c r="F59" i="4"/>
  <c r="G32" i="4"/>
  <c r="F52" i="4"/>
  <c r="E52" i="4"/>
  <c r="B75" i="4"/>
  <c r="H74" i="4"/>
  <c r="G73" i="4"/>
  <c r="G33" i="4"/>
  <c r="C56" i="4"/>
  <c r="I35" i="4"/>
  <c r="I38" i="4"/>
  <c r="I36" i="4"/>
  <c r="D62" i="4"/>
  <c r="A35" i="4"/>
  <c r="F56" i="4"/>
  <c r="C52" i="4"/>
  <c r="D55" i="4"/>
  <c r="D73" i="4"/>
  <c r="A73" i="4"/>
  <c r="I70" i="4"/>
  <c r="C84" i="4"/>
  <c r="D61" i="4"/>
  <c r="B50" i="4"/>
  <c r="F55" i="4"/>
  <c r="A68" i="4"/>
  <c r="G69" i="4"/>
  <c r="I75" i="4"/>
  <c r="B51" i="4"/>
  <c r="D39" i="4"/>
  <c r="B62" i="4"/>
  <c r="G76" i="4"/>
  <c r="B76" i="4"/>
  <c r="F73" i="4"/>
  <c r="I58" i="4"/>
  <c r="B58" i="4"/>
  <c r="A40" i="4"/>
  <c r="G57" i="4"/>
  <c r="I54" i="4"/>
  <c r="F51" i="4"/>
  <c r="E51" i="4"/>
  <c r="I61" i="4"/>
  <c r="F70" i="4"/>
  <c r="A75" i="4"/>
  <c r="H70" i="4"/>
  <c r="C72" i="4"/>
  <c r="B53" i="4"/>
  <c r="F50" i="4"/>
  <c r="E60" i="4"/>
  <c r="B56" i="4"/>
  <c r="C51" i="4"/>
  <c r="B39" i="4"/>
  <c r="I62" i="4"/>
  <c r="H53" i="4"/>
  <c r="A12" i="4"/>
  <c r="I66" i="4"/>
  <c r="B68" i="4"/>
  <c r="H34" i="4"/>
  <c r="C58" i="4"/>
  <c r="D59" i="4"/>
  <c r="I33" i="4"/>
  <c r="I30" i="4"/>
  <c r="I53" i="4"/>
  <c r="B60" i="4"/>
  <c r="A44" i="4"/>
  <c r="G58" i="4"/>
  <c r="F76" i="4"/>
  <c r="B72" i="4"/>
  <c r="H71" i="4"/>
  <c r="A55" i="4"/>
  <c r="E56" i="4"/>
  <c r="H37" i="4"/>
  <c r="F57" i="4"/>
  <c r="C61" i="4"/>
  <c r="A38" i="4"/>
  <c r="G35" i="4"/>
  <c r="E69" i="4"/>
  <c r="C75" i="4"/>
  <c r="B61" i="4"/>
  <c r="H54" i="4"/>
  <c r="A33" i="4"/>
  <c r="I55" i="4"/>
  <c r="G59" i="4"/>
  <c r="A59" i="4"/>
  <c r="G38" i="4"/>
  <c r="I76" i="4"/>
  <c r="A53" i="4"/>
  <c r="D57" i="4"/>
  <c r="H56" i="4"/>
  <c r="I43" i="4"/>
  <c r="D86" i="4"/>
  <c r="F68" i="4"/>
  <c r="I41" i="4"/>
  <c r="I52" i="4"/>
  <c r="I69" i="4"/>
  <c r="A60" i="4"/>
  <c r="A61" i="4"/>
  <c r="A37" i="4"/>
  <c r="B57" i="4"/>
  <c r="E53" i="4"/>
  <c r="H39" i="4"/>
  <c r="D74" i="4"/>
  <c r="I40" i="4"/>
  <c r="A57" i="4"/>
  <c r="H55" i="4"/>
  <c r="A62" i="4"/>
  <c r="A36" i="4"/>
  <c r="I39" i="4"/>
  <c r="A56" i="4"/>
  <c r="I34" i="4"/>
  <c r="B54" i="4"/>
  <c r="D84" i="4"/>
  <c r="I27" i="4"/>
  <c r="F54" i="4"/>
  <c r="I31" i="4"/>
  <c r="H32" i="4"/>
  <c r="A30" i="4"/>
  <c r="G60" i="4"/>
  <c r="F60" i="4"/>
  <c r="F53" i="4"/>
  <c r="H58" i="4"/>
  <c r="E39" i="4"/>
  <c r="G71" i="4"/>
  <c r="D71" i="4"/>
  <c r="E68" i="4"/>
  <c r="F61" i="4"/>
  <c r="H52" i="4"/>
  <c r="C62" i="4"/>
  <c r="H60" i="4"/>
  <c r="E57" i="4"/>
  <c r="C57" i="4"/>
  <c r="I60" i="4"/>
  <c r="G39" i="4"/>
  <c r="H33" i="4"/>
  <c r="I59" i="4"/>
  <c r="C60" i="4"/>
  <c r="B59" i="4"/>
  <c r="H57" i="4"/>
  <c r="C54" i="4"/>
  <c r="A54" i="4"/>
  <c r="H35" i="4"/>
  <c r="G55" i="4"/>
  <c r="I56" i="4"/>
  <c r="A28" i="4"/>
  <c r="E74" i="4"/>
  <c r="G61" i="4"/>
  <c r="G62" i="4"/>
  <c r="A43" i="4"/>
  <c r="A31" i="4"/>
  <c r="D60" i="4"/>
  <c r="F58" i="4"/>
  <c r="D69" i="4"/>
  <c r="G74" i="4"/>
  <c r="I74" i="4"/>
  <c r="A29" i="4"/>
  <c r="G29" i="4"/>
  <c r="A34" i="4"/>
  <c r="D56" i="4"/>
  <c r="G37" i="4"/>
  <c r="E55" i="4"/>
  <c r="E54" i="4"/>
  <c r="G51" i="4"/>
  <c r="A39" i="4"/>
  <c r="H38" i="4"/>
  <c r="E62" i="4"/>
  <c r="I57" i="4"/>
  <c r="C73" i="4"/>
  <c r="H72" i="4"/>
  <c r="D68" i="4"/>
  <c r="E75" i="4"/>
  <c r="G34" i="4"/>
  <c r="G54" i="4"/>
  <c r="I32" i="4"/>
  <c r="C53" i="4"/>
  <c r="B52" i="4"/>
  <c r="C39" i="4"/>
  <c r="I29" i="4"/>
  <c r="H29" i="4"/>
  <c r="E59" i="4"/>
  <c r="D58" i="4"/>
  <c r="F71" i="4"/>
  <c r="A71" i="4"/>
  <c r="C71" i="4"/>
  <c r="A51" i="4"/>
  <c r="A11" i="4"/>
  <c r="B73" i="4"/>
  <c r="A27" i="4"/>
  <c r="H62" i="4"/>
  <c r="C55" i="4"/>
  <c r="H69" i="4"/>
  <c r="B74" i="4"/>
  <c r="G56" i="4"/>
  <c r="H59" i="4"/>
  <c r="E58" i="4"/>
  <c r="D52" i="4"/>
  <c r="H76" i="4"/>
  <c r="B55" i="4"/>
  <c r="E50" i="4"/>
  <c r="E71" i="4"/>
  <c r="G52" i="4"/>
  <c r="E76" i="4"/>
  <c r="D54" i="4"/>
  <c r="A52" i="4"/>
  <c r="I71" i="4"/>
  <c r="B69" i="4"/>
  <c r="D50" i="4"/>
  <c r="D75" i="4"/>
  <c r="A32" i="4"/>
  <c r="D51" i="4"/>
  <c r="A42" i="4"/>
  <c r="G53" i="4"/>
  <c r="C68" i="4"/>
  <c r="C59" i="4"/>
  <c r="H51" i="4"/>
  <c r="A72" i="4"/>
  <c r="I24" i="4"/>
  <c r="F62" i="4"/>
  <c r="A41" i="4"/>
  <c r="E61" i="4"/>
  <c r="D28" i="6" l="1"/>
  <c r="C29" i="6"/>
  <c r="C30" i="6" s="1"/>
  <c r="C41" i="6"/>
  <c r="C42" i="6" s="1"/>
  <c r="B37" i="3"/>
  <c r="B38" i="3"/>
  <c r="K69" i="4"/>
  <c r="K55" i="4"/>
  <c r="B9" i="3"/>
  <c r="D36" i="3"/>
  <c r="B36" i="3"/>
  <c r="H36" i="3"/>
  <c r="F36" i="3"/>
  <c r="L5" i="5"/>
  <c r="E41" i="3"/>
  <c r="L2" i="5"/>
  <c r="E24" i="3"/>
  <c r="K68" i="4"/>
  <c r="E43" i="3"/>
  <c r="K60" i="4"/>
  <c r="B10" i="3"/>
  <c r="C36" i="3"/>
  <c r="K50" i="4"/>
  <c r="J21" i="3" s="1"/>
  <c r="M4" i="5"/>
  <c r="H21" i="3"/>
  <c r="K72" i="4"/>
  <c r="E36" i="3"/>
  <c r="K51" i="4"/>
  <c r="D41" i="3"/>
  <c r="L3" i="5"/>
  <c r="K75" i="4"/>
  <c r="G36" i="3"/>
  <c r="C115" i="6"/>
  <c r="B116" i="6"/>
  <c r="D101" i="6"/>
  <c r="D43" i="5"/>
  <c r="C102" i="6"/>
  <c r="D102" i="6" s="1"/>
  <c r="E102" i="6" s="1"/>
  <c r="F102" i="6" s="1"/>
  <c r="G102" i="6" s="1"/>
  <c r="H102" i="6" s="1"/>
  <c r="I102" i="6" s="1"/>
  <c r="J102" i="6" s="1"/>
  <c r="K102" i="6" s="1"/>
  <c r="L102" i="6" s="1"/>
  <c r="B103" i="6"/>
  <c r="D30" i="5"/>
  <c r="F88" i="6"/>
  <c r="C89" i="6"/>
  <c r="B90" i="6"/>
  <c r="E41" i="6"/>
  <c r="F39" i="6"/>
  <c r="K54" i="5"/>
  <c r="D41" i="6"/>
  <c r="B92" i="6"/>
  <c r="F78" i="6"/>
  <c r="H79" i="6" s="1"/>
  <c r="H35" i="3"/>
  <c r="B4" i="5"/>
  <c r="E4" i="3"/>
  <c r="K55" i="5"/>
  <c r="E16" i="5"/>
  <c r="E6" i="3"/>
  <c r="B5" i="5"/>
  <c r="D51" i="6"/>
  <c r="C53" i="6"/>
  <c r="C54" i="6" s="1"/>
  <c r="D17" i="5"/>
  <c r="F27" i="6"/>
  <c r="F114" i="6"/>
  <c r="C44" i="6" l="1"/>
  <c r="C43" i="6"/>
  <c r="D42" i="6" s="1"/>
  <c r="D44" i="6" s="1"/>
  <c r="C103" i="6"/>
  <c r="C104" i="6" s="1"/>
  <c r="C32" i="6"/>
  <c r="C31" i="6"/>
  <c r="E28" i="6"/>
  <c r="D29" i="6"/>
  <c r="G39" i="6"/>
  <c r="F41" i="6"/>
  <c r="D43" i="6"/>
  <c r="E30" i="5"/>
  <c r="K61" i="4"/>
  <c r="D103" i="6"/>
  <c r="E101" i="6"/>
  <c r="C106" i="6"/>
  <c r="C105" i="6"/>
  <c r="C55" i="6"/>
  <c r="C56" i="6"/>
  <c r="D53" i="6"/>
  <c r="E51" i="6"/>
  <c r="D115" i="6"/>
  <c r="C116" i="6"/>
  <c r="C117" i="6" s="1"/>
  <c r="D89" i="6"/>
  <c r="C90" i="6"/>
  <c r="C91" i="6" s="1"/>
  <c r="I57" i="5"/>
  <c r="I58" i="5"/>
  <c r="I56" i="5"/>
  <c r="AF7" i="3"/>
  <c r="N21" i="3"/>
  <c r="L21" i="3"/>
  <c r="M21" i="3" s="1"/>
  <c r="E43" i="5"/>
  <c r="G88" i="6"/>
  <c r="K76" i="4"/>
  <c r="G114" i="6"/>
  <c r="G27" i="6"/>
  <c r="L55" i="5"/>
  <c r="F16" i="5"/>
  <c r="E17" i="5"/>
  <c r="L54" i="5"/>
  <c r="H61" i="5"/>
  <c r="I61" i="5"/>
  <c r="F28" i="6" l="1"/>
  <c r="E29" i="6"/>
  <c r="D30" i="6"/>
  <c r="D32" i="6" s="1"/>
  <c r="D31" i="6"/>
  <c r="E30" i="6" s="1"/>
  <c r="E32" i="6" s="1"/>
  <c r="C93" i="6"/>
  <c r="C92" i="6"/>
  <c r="E115" i="6"/>
  <c r="D116" i="6"/>
  <c r="E103" i="6"/>
  <c r="F101" i="6"/>
  <c r="M54" i="5"/>
  <c r="N54" i="5" s="1"/>
  <c r="O54" i="5" s="1"/>
  <c r="P54" i="5" s="1"/>
  <c r="Q54" i="5" s="1"/>
  <c r="R54" i="5" s="1"/>
  <c r="S54" i="5" s="1"/>
  <c r="M55" i="5"/>
  <c r="G16" i="5"/>
  <c r="D54" i="6"/>
  <c r="D56" i="6" s="1"/>
  <c r="D55" i="6"/>
  <c r="D104" i="6"/>
  <c r="D106" i="6" s="1"/>
  <c r="H27" i="6"/>
  <c r="F17" i="5"/>
  <c r="M5" i="5"/>
  <c r="K78" i="4"/>
  <c r="M3" i="5"/>
  <c r="E53" i="6"/>
  <c r="F51" i="6"/>
  <c r="E31" i="6"/>
  <c r="H114" i="6"/>
  <c r="F30" i="5"/>
  <c r="E42" i="6"/>
  <c r="E44" i="6" s="1"/>
  <c r="H88" i="6"/>
  <c r="E89" i="6"/>
  <c r="D90" i="6"/>
  <c r="H39" i="6"/>
  <c r="G41" i="6"/>
  <c r="F43" i="5"/>
  <c r="C119" i="6"/>
  <c r="C118" i="6"/>
  <c r="D105" i="6" l="1"/>
  <c r="G28" i="6"/>
  <c r="F29" i="6"/>
  <c r="D117" i="6"/>
  <c r="D119" i="6" s="1"/>
  <c r="D118" i="6"/>
  <c r="E43" i="6"/>
  <c r="I88" i="6"/>
  <c r="J61" i="5"/>
  <c r="H22" i="3"/>
  <c r="M2" i="5"/>
  <c r="G101" i="6"/>
  <c r="F103" i="6"/>
  <c r="G43" i="5"/>
  <c r="G17" i="5"/>
  <c r="K61" i="5"/>
  <c r="G30" i="5"/>
  <c r="I27" i="6"/>
  <c r="E104" i="6"/>
  <c r="E106" i="6" s="1"/>
  <c r="F115" i="6"/>
  <c r="E116" i="6"/>
  <c r="F30" i="6"/>
  <c r="F32" i="6" s="1"/>
  <c r="F53" i="6"/>
  <c r="G51" i="6"/>
  <c r="N55" i="5"/>
  <c r="H16" i="5"/>
  <c r="I114" i="6"/>
  <c r="H41" i="6"/>
  <c r="I39" i="6"/>
  <c r="F89" i="6"/>
  <c r="E90" i="6"/>
  <c r="E54" i="6"/>
  <c r="E56" i="6" s="1"/>
  <c r="D91" i="6"/>
  <c r="D93" i="6" s="1"/>
  <c r="D92" i="6" l="1"/>
  <c r="H28" i="6"/>
  <c r="G29" i="6"/>
  <c r="E55" i="6"/>
  <c r="J114" i="6"/>
  <c r="I21" i="3"/>
  <c r="J22" i="3"/>
  <c r="I22" i="3"/>
  <c r="AF9" i="3"/>
  <c r="F24" i="3"/>
  <c r="AF8" i="3" s="1"/>
  <c r="D20" i="3" s="1"/>
  <c r="B7" i="5" s="1"/>
  <c r="J27" i="6"/>
  <c r="J88" i="6"/>
  <c r="O55" i="5"/>
  <c r="L61" i="5" s="1"/>
  <c r="I16" i="5"/>
  <c r="H30" i="5"/>
  <c r="G53" i="6"/>
  <c r="H51" i="6"/>
  <c r="E91" i="6"/>
  <c r="E93" i="6" s="1"/>
  <c r="H17" i="5"/>
  <c r="F31" i="6"/>
  <c r="H43" i="5"/>
  <c r="F42" i="6"/>
  <c r="F44" i="6" s="1"/>
  <c r="E117" i="6"/>
  <c r="E119" i="6" s="1"/>
  <c r="E118" i="6"/>
  <c r="G89" i="6"/>
  <c r="F90" i="6"/>
  <c r="G115" i="6"/>
  <c r="F116" i="6"/>
  <c r="I41" i="6"/>
  <c r="J39" i="6"/>
  <c r="E105" i="6"/>
  <c r="H101" i="6"/>
  <c r="G103" i="6"/>
  <c r="G24" i="3" l="1"/>
  <c r="AF6" i="3" s="1"/>
  <c r="F54" i="6"/>
  <c r="F56" i="6" s="1"/>
  <c r="I28" i="6"/>
  <c r="H29" i="6"/>
  <c r="B31" i="5"/>
  <c r="B44" i="5"/>
  <c r="B18" i="5"/>
  <c r="F8" i="5"/>
  <c r="G30" i="6"/>
  <c r="G32" i="6" s="1"/>
  <c r="I101" i="6"/>
  <c r="H103" i="6"/>
  <c r="K88" i="6"/>
  <c r="F104" i="6"/>
  <c r="F106" i="6" s="1"/>
  <c r="J41" i="6"/>
  <c r="K39" i="6"/>
  <c r="I17" i="5"/>
  <c r="K27" i="6"/>
  <c r="H115" i="6"/>
  <c r="G116" i="6"/>
  <c r="E92" i="6"/>
  <c r="I43" i="5"/>
  <c r="H89" i="6"/>
  <c r="G90" i="6"/>
  <c r="H53" i="6"/>
  <c r="I51" i="6"/>
  <c r="F117" i="6"/>
  <c r="F119" i="6" s="1"/>
  <c r="F118" i="6"/>
  <c r="I30" i="5"/>
  <c r="K114" i="6"/>
  <c r="F43" i="6"/>
  <c r="J16" i="5"/>
  <c r="P55" i="5"/>
  <c r="M61" i="5" s="1"/>
  <c r="J28" i="6" l="1"/>
  <c r="I29" i="6"/>
  <c r="F55" i="6"/>
  <c r="G54" i="6" s="1"/>
  <c r="G56" i="6" s="1"/>
  <c r="B21" i="5"/>
  <c r="B47" i="5"/>
  <c r="B34" i="5"/>
  <c r="G55" i="6"/>
  <c r="B19" i="5"/>
  <c r="C18" i="5"/>
  <c r="J30" i="5"/>
  <c r="L27" i="6"/>
  <c r="B45" i="5"/>
  <c r="C44" i="5"/>
  <c r="B32" i="5"/>
  <c r="C31" i="5"/>
  <c r="G117" i="6"/>
  <c r="G119" i="6" s="1"/>
  <c r="J17" i="5"/>
  <c r="J51" i="6"/>
  <c r="I53" i="6"/>
  <c r="K41" i="6"/>
  <c r="L39" i="6"/>
  <c r="L41" i="6" s="1"/>
  <c r="I89" i="6"/>
  <c r="H90" i="6"/>
  <c r="F105" i="6"/>
  <c r="L88" i="6"/>
  <c r="J43" i="5"/>
  <c r="F91" i="6"/>
  <c r="F93" i="6" s="1"/>
  <c r="F92" i="6"/>
  <c r="Q55" i="5"/>
  <c r="N61" i="5" s="1"/>
  <c r="K16" i="5"/>
  <c r="J101" i="6"/>
  <c r="I103" i="6"/>
  <c r="G42" i="6"/>
  <c r="G44" i="6" s="1"/>
  <c r="G43" i="6"/>
  <c r="L114" i="6"/>
  <c r="I115" i="6"/>
  <c r="H116" i="6"/>
  <c r="G31" i="6"/>
  <c r="K28" i="6" l="1"/>
  <c r="J29" i="6"/>
  <c r="K30" i="5"/>
  <c r="J89" i="6"/>
  <c r="I90" i="6"/>
  <c r="K51" i="6"/>
  <c r="J53" i="6"/>
  <c r="G91" i="6"/>
  <c r="G93" i="6" s="1"/>
  <c r="G92" i="6"/>
  <c r="G118" i="6"/>
  <c r="D31" i="5"/>
  <c r="C32" i="5"/>
  <c r="C33" i="5" s="1"/>
  <c r="H30" i="6"/>
  <c r="H32" i="6" s="1"/>
  <c r="C45" i="5"/>
  <c r="C46" i="5" s="1"/>
  <c r="C47" i="5" s="1"/>
  <c r="D44" i="5"/>
  <c r="J115" i="6"/>
  <c r="I116" i="6"/>
  <c r="K101" i="6"/>
  <c r="J103" i="6"/>
  <c r="K43" i="5"/>
  <c r="G104" i="6"/>
  <c r="G106" i="6" s="1"/>
  <c r="H42" i="6"/>
  <c r="H44" i="6" s="1"/>
  <c r="H43" i="6"/>
  <c r="D18" i="5"/>
  <c r="C19" i="5"/>
  <c r="C20" i="5" s="1"/>
  <c r="H54" i="6"/>
  <c r="H56" i="6" s="1"/>
  <c r="H55" i="6"/>
  <c r="L16" i="5"/>
  <c r="R55" i="5"/>
  <c r="O61" i="5" s="1"/>
  <c r="K17" i="5"/>
  <c r="L28" i="6" l="1"/>
  <c r="L29" i="6" s="1"/>
  <c r="K29" i="6"/>
  <c r="C35" i="5"/>
  <c r="J57" i="5"/>
  <c r="G63" i="5" s="1"/>
  <c r="C34" i="5"/>
  <c r="C22" i="5"/>
  <c r="J56" i="5"/>
  <c r="G62" i="5" s="1"/>
  <c r="H31" i="6"/>
  <c r="L43" i="5"/>
  <c r="L17" i="5"/>
  <c r="D32" i="5"/>
  <c r="E31" i="5"/>
  <c r="C48" i="5"/>
  <c r="J58" i="5"/>
  <c r="G64" i="5" s="1"/>
  <c r="H117" i="6"/>
  <c r="H119" i="6" s="1"/>
  <c r="S55" i="5"/>
  <c r="P61" i="5" s="1"/>
  <c r="H91" i="6"/>
  <c r="H93" i="6" s="1"/>
  <c r="I54" i="6"/>
  <c r="I56" i="6" s="1"/>
  <c r="L51" i="6"/>
  <c r="L53" i="6" s="1"/>
  <c r="K53" i="6"/>
  <c r="K103" i="6"/>
  <c r="L101" i="6"/>
  <c r="L103" i="6" s="1"/>
  <c r="K89" i="6"/>
  <c r="J90" i="6"/>
  <c r="E18" i="5"/>
  <c r="D19" i="5"/>
  <c r="L30" i="5"/>
  <c r="I42" i="6"/>
  <c r="I44" i="6" s="1"/>
  <c r="K115" i="6"/>
  <c r="J116" i="6"/>
  <c r="D45" i="5"/>
  <c r="D46" i="5" s="1"/>
  <c r="E44" i="5"/>
  <c r="C21" i="5"/>
  <c r="G105" i="6"/>
  <c r="L89" i="6" l="1"/>
  <c r="L90" i="6" s="1"/>
  <c r="K90" i="6"/>
  <c r="D48" i="5"/>
  <c r="K58" i="5"/>
  <c r="H64" i="5" s="1"/>
  <c r="D20" i="5"/>
  <c r="D47" i="5"/>
  <c r="L115" i="6"/>
  <c r="L116" i="6" s="1"/>
  <c r="K116" i="6"/>
  <c r="I30" i="6"/>
  <c r="I32" i="6" s="1"/>
  <c r="F31" i="5"/>
  <c r="E32" i="5"/>
  <c r="H104" i="6"/>
  <c r="H106" i="6" s="1"/>
  <c r="H105" i="6"/>
  <c r="E45" i="5"/>
  <c r="F44" i="5"/>
  <c r="I55" i="6"/>
  <c r="H92" i="6"/>
  <c r="I43" i="6"/>
  <c r="D33" i="5"/>
  <c r="D34" i="5"/>
  <c r="E19" i="5"/>
  <c r="F18" i="5"/>
  <c r="H118" i="6"/>
  <c r="F32" i="5" l="1"/>
  <c r="G31" i="5"/>
  <c r="I117" i="6"/>
  <c r="I119" i="6" s="1"/>
  <c r="F19" i="5"/>
  <c r="G18" i="5"/>
  <c r="I31" i="6"/>
  <c r="E33" i="5"/>
  <c r="E34" i="5"/>
  <c r="D35" i="5"/>
  <c r="K57" i="5"/>
  <c r="H63" i="5" s="1"/>
  <c r="J42" i="6"/>
  <c r="J44" i="6" s="1"/>
  <c r="I91" i="6"/>
  <c r="I93" i="6" s="1"/>
  <c r="E46" i="5"/>
  <c r="E47" i="5" s="1"/>
  <c r="J54" i="6"/>
  <c r="J56" i="6" s="1"/>
  <c r="J55" i="6"/>
  <c r="D22" i="5"/>
  <c r="K56" i="5"/>
  <c r="H62" i="5" s="1"/>
  <c r="F45" i="5"/>
  <c r="G44" i="5"/>
  <c r="D21" i="5"/>
  <c r="I104" i="6"/>
  <c r="I106" i="6" s="1"/>
  <c r="I105" i="6"/>
  <c r="F33" i="5" l="1"/>
  <c r="F34" i="5" s="1"/>
  <c r="F46" i="5"/>
  <c r="F47" i="5"/>
  <c r="I92" i="6"/>
  <c r="J43" i="6"/>
  <c r="J104" i="6"/>
  <c r="J106" i="6" s="1"/>
  <c r="J105" i="6"/>
  <c r="E20" i="5"/>
  <c r="E21" i="5" s="1"/>
  <c r="L57" i="5"/>
  <c r="I63" i="5" s="1"/>
  <c r="E35" i="5"/>
  <c r="G45" i="5"/>
  <c r="H44" i="5"/>
  <c r="J30" i="6"/>
  <c r="J32" i="6" s="1"/>
  <c r="G19" i="5"/>
  <c r="H18" i="5"/>
  <c r="K54" i="6"/>
  <c r="K56" i="6" s="1"/>
  <c r="K55" i="6"/>
  <c r="I118" i="6"/>
  <c r="G32" i="5"/>
  <c r="H31" i="5"/>
  <c r="E48" i="5"/>
  <c r="L58" i="5"/>
  <c r="I64" i="5" s="1"/>
  <c r="J31" i="6" l="1"/>
  <c r="F20" i="5"/>
  <c r="F21" i="5"/>
  <c r="K104" i="6"/>
  <c r="K106" i="6" s="1"/>
  <c r="K105" i="6"/>
  <c r="K30" i="6"/>
  <c r="K32" i="6" s="1"/>
  <c r="I44" i="5"/>
  <c r="H45" i="5"/>
  <c r="L56" i="5"/>
  <c r="I62" i="5" s="1"/>
  <c r="E22" i="5"/>
  <c r="I31" i="5"/>
  <c r="H32" i="5"/>
  <c r="J117" i="6"/>
  <c r="J119" i="6" s="1"/>
  <c r="K42" i="6"/>
  <c r="K44" i="6" s="1"/>
  <c r="K43" i="6"/>
  <c r="L54" i="6"/>
  <c r="L56" i="6" s="1"/>
  <c r="B57" i="6" s="1"/>
  <c r="B58" i="6" s="1"/>
  <c r="L55" i="6"/>
  <c r="J91" i="6"/>
  <c r="J93" i="6" s="1"/>
  <c r="J92" i="6"/>
  <c r="G46" i="5"/>
  <c r="G47" i="5"/>
  <c r="F48" i="5"/>
  <c r="M58" i="5"/>
  <c r="J64" i="5" s="1"/>
  <c r="I18" i="5"/>
  <c r="H19" i="5"/>
  <c r="G33" i="5"/>
  <c r="G34" i="5"/>
  <c r="M57" i="5"/>
  <c r="J63" i="5" s="1"/>
  <c r="F35" i="5"/>
  <c r="K31" i="6" l="1"/>
  <c r="J118" i="6"/>
  <c r="G35" i="5"/>
  <c r="N57" i="5"/>
  <c r="K63" i="5" s="1"/>
  <c r="I19" i="5"/>
  <c r="J18" i="5"/>
  <c r="J44" i="5"/>
  <c r="I45" i="5"/>
  <c r="N58" i="5"/>
  <c r="K64" i="5" s="1"/>
  <c r="G48" i="5"/>
  <c r="J31" i="5"/>
  <c r="I32" i="5"/>
  <c r="H33" i="5"/>
  <c r="H34" i="5"/>
  <c r="H46" i="5"/>
  <c r="H47" i="5"/>
  <c r="L104" i="6"/>
  <c r="L106" i="6" s="1"/>
  <c r="B107" i="6" s="1"/>
  <c r="B109" i="6" s="1"/>
  <c r="B23" i="6"/>
  <c r="B59" i="6"/>
  <c r="C23" i="6" s="1"/>
  <c r="M56" i="5"/>
  <c r="J62" i="5" s="1"/>
  <c r="F22" i="5"/>
  <c r="K91" i="6"/>
  <c r="K93" i="6" s="1"/>
  <c r="L30" i="6"/>
  <c r="L32" i="6" s="1"/>
  <c r="B33" i="6" s="1"/>
  <c r="B34" i="6" s="1"/>
  <c r="G20" i="5"/>
  <c r="G21" i="5" s="1"/>
  <c r="L42" i="6"/>
  <c r="L44" i="6" s="1"/>
  <c r="B45" i="6" s="1"/>
  <c r="B46" i="6" s="1"/>
  <c r="L105" i="6" l="1"/>
  <c r="H20" i="5"/>
  <c r="H21" i="5"/>
  <c r="I46" i="5"/>
  <c r="I47" i="5"/>
  <c r="I33" i="5"/>
  <c r="I34" i="5"/>
  <c r="L31" i="6"/>
  <c r="B22" i="6"/>
  <c r="B47" i="6"/>
  <c r="C22" i="6" s="1"/>
  <c r="L43" i="6"/>
  <c r="N56" i="5"/>
  <c r="G22" i="5"/>
  <c r="O58" i="5"/>
  <c r="L64" i="5" s="1"/>
  <c r="H48" i="5"/>
  <c r="H35" i="5"/>
  <c r="O57" i="5"/>
  <c r="L63" i="5" s="1"/>
  <c r="B35" i="6"/>
  <c r="C21" i="6" s="1"/>
  <c r="B21" i="6"/>
  <c r="J32" i="5"/>
  <c r="K31" i="5"/>
  <c r="K92" i="6"/>
  <c r="K44" i="5"/>
  <c r="J45" i="5"/>
  <c r="K18" i="5"/>
  <c r="J19" i="5"/>
  <c r="B110" i="6"/>
  <c r="C110" i="6" s="1"/>
  <c r="C83" i="6" s="1"/>
  <c r="C109" i="6"/>
  <c r="B83" i="6" s="1"/>
  <c r="K117" i="6"/>
  <c r="K119" i="6" s="1"/>
  <c r="K118" i="6" l="1"/>
  <c r="K19" i="5"/>
  <c r="L18" i="5"/>
  <c r="L19" i="5" s="1"/>
  <c r="L44" i="5"/>
  <c r="L45" i="5" s="1"/>
  <c r="K45" i="5"/>
  <c r="L91" i="6"/>
  <c r="L93" i="6" s="1"/>
  <c r="B94" i="6" s="1"/>
  <c r="B96" i="6" s="1"/>
  <c r="J33" i="5"/>
  <c r="J34" i="5"/>
  <c r="P57" i="5"/>
  <c r="M63" i="5" s="1"/>
  <c r="I35" i="5"/>
  <c r="L31" i="5"/>
  <c r="L32" i="5" s="1"/>
  <c r="K32" i="5"/>
  <c r="J46" i="5"/>
  <c r="J47" i="5"/>
  <c r="P58" i="5"/>
  <c r="M64" i="5" s="1"/>
  <c r="I48" i="5"/>
  <c r="I20" i="5"/>
  <c r="I21" i="5" s="1"/>
  <c r="O56" i="5"/>
  <c r="L62" i="5" s="1"/>
  <c r="H22" i="5"/>
  <c r="Q58" i="5" l="1"/>
  <c r="N64" i="5" s="1"/>
  <c r="J48" i="5"/>
  <c r="K33" i="5"/>
  <c r="Q57" i="5"/>
  <c r="N63" i="5" s="1"/>
  <c r="J35" i="5"/>
  <c r="L92" i="6"/>
  <c r="K46" i="5"/>
  <c r="J20" i="5"/>
  <c r="J21" i="5"/>
  <c r="B97" i="6"/>
  <c r="C97" i="6" s="1"/>
  <c r="C82" i="6" s="1"/>
  <c r="C96" i="6"/>
  <c r="B82" i="6" s="1"/>
  <c r="P56" i="5"/>
  <c r="M62" i="5" s="1"/>
  <c r="I22" i="5"/>
  <c r="L117" i="6"/>
  <c r="L119" i="6" s="1"/>
  <c r="B120" i="6" s="1"/>
  <c r="B122" i="6" s="1"/>
  <c r="L118" i="6" l="1"/>
  <c r="K20" i="5"/>
  <c r="Q56" i="5"/>
  <c r="N62" i="5" s="1"/>
  <c r="J22" i="5"/>
  <c r="K48" i="5"/>
  <c r="R58" i="5"/>
  <c r="O64" i="5" s="1"/>
  <c r="K47" i="5"/>
  <c r="R57" i="5"/>
  <c r="O63" i="5" s="1"/>
  <c r="K35" i="5"/>
  <c r="K34" i="5"/>
  <c r="B123" i="6"/>
  <c r="C123" i="6" s="1"/>
  <c r="C84" i="6" s="1"/>
  <c r="C122" i="6"/>
  <c r="B84" i="6" s="1"/>
  <c r="L33" i="5" l="1"/>
  <c r="L46" i="5"/>
  <c r="R56" i="5"/>
  <c r="O62" i="5" s="1"/>
  <c r="K22" i="5"/>
  <c r="K21" i="5"/>
  <c r="L48" i="5" l="1"/>
  <c r="B49" i="5" s="1"/>
  <c r="B51" i="5" s="1"/>
  <c r="S58" i="5"/>
  <c r="L47" i="5"/>
  <c r="S57" i="5"/>
  <c r="P63" i="5" s="1"/>
  <c r="L35" i="5"/>
  <c r="B36" i="5" s="1"/>
  <c r="B38" i="5" s="1"/>
  <c r="L20" i="5"/>
  <c r="L34" i="5"/>
  <c r="B39" i="5" l="1"/>
  <c r="C39" i="5" s="1"/>
  <c r="C12" i="5" s="1"/>
  <c r="F29" i="3" s="1"/>
  <c r="C38" i="5"/>
  <c r="B12" i="5" s="1"/>
  <c r="E12" i="5" s="1"/>
  <c r="G29" i="3" s="1"/>
  <c r="K62" i="5"/>
  <c r="P64" i="5"/>
  <c r="S56" i="5"/>
  <c r="P62" i="5" s="1"/>
  <c r="L22" i="5"/>
  <c r="B23" i="5" s="1"/>
  <c r="B25" i="5" s="1"/>
  <c r="L21" i="5"/>
  <c r="B52" i="5"/>
  <c r="C52" i="5" s="1"/>
  <c r="C13" i="5" s="1"/>
  <c r="F30" i="3" s="1"/>
  <c r="C51" i="5"/>
  <c r="B13" i="5" s="1"/>
  <c r="E13" i="5" s="1"/>
  <c r="G30" i="3" s="1"/>
  <c r="B26" i="5" l="1"/>
  <c r="C26" i="5" s="1"/>
  <c r="C11" i="5" s="1"/>
  <c r="F28" i="3" s="1"/>
  <c r="F31" i="3" s="1"/>
  <c r="C25" i="5"/>
  <c r="B11" i="5" s="1"/>
  <c r="E11" i="5" s="1"/>
  <c r="G28" i="3" s="1"/>
  <c r="C29" i="3" l="1"/>
  <c r="G31" i="3"/>
  <c r="C30" i="3"/>
  <c r="C28" i="3"/>
  <c r="D28" i="3" s="1"/>
</calcChain>
</file>

<file path=xl/sharedStrings.xml><?xml version="1.0" encoding="utf-8"?>
<sst xmlns="http://schemas.openxmlformats.org/spreadsheetml/2006/main" count="1061" uniqueCount="435">
  <si>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</si>
  <si>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</si>
  <si>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</si>
  <si>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</si>
  <si>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</si>
  <si>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</si>
  <si>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</si>
  <si>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</si>
  <si>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</si>
  <si>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</si>
  <si>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</si>
  <si>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</si>
  <si>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</si>
  <si>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</si>
  <si>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</si>
  <si>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</si>
  <si>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</si>
  <si>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</si>
  <si>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</si>
  <si>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</si>
  <si>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</si>
  <si>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</si>
  <si>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</si>
  <si>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</si>
  <si>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</si>
  <si>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</si>
  <si>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</si>
  <si>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</si>
  <si>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</si>
  <si>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</si>
  <si>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</si>
  <si>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</si>
  <si>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</si>
  <si>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</si>
  <si>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</si>
  <si>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</si>
  <si>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</si>
  <si>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</si>
  <si>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</si>
  <si>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</si>
  <si>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</si>
  <si>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</si>
  <si>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</si>
  <si>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</si>
  <si>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</si>
  <si>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</si>
  <si>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</si>
  <si>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</si>
  <si>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</si>
  <si>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</si>
  <si>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</si>
  <si>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</si>
  <si>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</si>
  <si>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</si>
  <si>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</si>
  <si>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</si>
  <si>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</si>
  <si>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</si>
  <si>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</si>
  <si>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</si>
  <si>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</si>
  <si>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KG에코솔루션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</si>
  <si>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</si>
  <si>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</si>
  <si>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</si>
  <si>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</si>
  <si>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</si>
  <si>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</si>
  <si>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</si>
  <si>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</si>
  <si>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</si>
  <si>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</si>
  <si>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</si>
  <si>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</si>
  <si>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</si>
  <si>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</si>
  <si>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</si>
  <si>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</si>
  <si>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</si>
  <si>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</si>
  <si>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</si>
  <si>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</si>
  <si>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</si>
  <si>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</si>
  <si>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</si>
  <si>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</si>
  <si>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</si>
  <si>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</si>
  <si>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</si>
  <si>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</si>
  <si>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</si>
  <si>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</si>
  <si>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</si>
  <si>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</si>
  <si>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</si>
  <si>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</si>
  <si>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</si>
  <si>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</si>
  <si>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</si>
  <si>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</si>
  <si>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</si>
  <si>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</si>
  <si>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</si>
  <si>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</si>
  <si>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</si>
  <si>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</si>
  <si>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6,790/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</si>
  <si>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</si>
  <si>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</si>
  <si>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</si>
  <si>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</si>
  <si>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</si>
  <si>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</si>
  <si>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</si>
  <si>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</si>
  <si>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</si>
  <si>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</si>
  <si>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</si>
  <si>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</si>
  <si>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</si>
  <si>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</si>
  <si>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</si>
  <si>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</si>
  <si>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</si>
  <si>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47,603,002/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</si>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</sst>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95E-4A7B-A094-F2EE48BB8D8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95E-4A7B-A094-F2EE48BB8D8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95E-4A7B-A094-F2EE48BB8D8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95E-4A7B-A094-F2EE48BB8D8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95E-4A7B-A094-F2EE48BB8D8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479</c:v>
                </c:pt>
                <c:pt idx="1">
                  <c:v>5332</c:v>
                </c:pt>
                <c:pt idx="2">
                  <c:v>664</c:v>
                </c:pt>
                <c:pt idx="3">
                  <c:v>763</c:v>
                </c:pt>
                <c:pt idx="4">
                  <c:v>713</c:v>
                </c:pt>
                <c:pt idx="5">
                  <c:v>971.6536666666666</c:v>
                </c:pt>
                <c:pt idx="6">
                  <c:v>1038.4224677944444</c:v>
                </c:pt>
                <c:pt idx="7">
                  <c:v>1109.7793983730526</c:v>
                </c:pt>
                <c:pt idx="8">
                  <c:v>1186.0397393645876</c:v>
                </c:pt>
                <c:pt idx="9">
                  <c:v>1267.5404367879241</c:v>
                </c:pt>
                <c:pt idx="10">
                  <c:v>1354.641590469201</c:v>
                </c:pt>
                <c:pt idx="11">
                  <c:v>1447.7280450942762</c:v>
                </c:pt>
                <c:pt idx="12">
                  <c:v>1547.2110905930044</c:v>
                </c:pt>
                <c:pt idx="13">
                  <c:v>1653.5302793682538</c:v>
                </c:pt>
                <c:pt idx="14">
                  <c:v>1767.1553683988423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5E-4A7B-A094-F2EE48BB8D8F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95E-4A7B-A094-F2EE48BB8D8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95E-4A7B-A094-F2EE48BB8D8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95E-4A7B-A094-F2EE48BB8D8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95E-4A7B-A094-F2EE48BB8D8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95E-4A7B-A094-F2EE48BB8D8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95E-4A7B-A094-F2EE48BB8D8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479</c:v>
                </c:pt>
                <c:pt idx="1">
                  <c:v>5332</c:v>
                </c:pt>
                <c:pt idx="2">
                  <c:v>664</c:v>
                </c:pt>
                <c:pt idx="3">
                  <c:v>763</c:v>
                </c:pt>
                <c:pt idx="4">
                  <c:v>713</c:v>
                </c:pt>
                <c:pt idx="5">
                  <c:v>1019.5647</c:v>
                </c:pt>
                <c:pt idx="6">
                  <c:v>1139.3095052461501</c:v>
                </c:pt>
                <c:pt idx="7">
                  <c:v>1269.6668166581801</c:v>
                </c:pt>
                <c:pt idx="8">
                  <c:v>1411.968620827877</c:v>
                </c:pt>
                <c:pt idx="9">
                  <c:v>1567.6426274200107</c:v>
                </c:pt>
                <c:pt idx="10">
                  <c:v>1738.2299980727207</c:v>
                </c:pt>
                <c:pt idx="11">
                  <c:v>1925.4031731965376</c:v>
                </c:pt>
                <c:pt idx="12">
                  <c:v>2130.9842198364845</c:v>
                </c:pt>
                <c:pt idx="13">
                  <c:v>2356.9640596653576</c:v>
                </c:pt>
                <c:pt idx="14">
                  <c:v>2605.5228954850322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95E-4A7B-A094-F2EE48BB8D8F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95E-4A7B-A094-F2EE48BB8D8F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95E-4A7B-A094-F2EE48BB8D8F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95E-4A7B-A094-F2EE48BB8D8F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95E-4A7B-A094-F2EE48BB8D8F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95E-4A7B-A094-F2EE48BB8D8F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95E-4A7B-A094-F2EE48BB8D8F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479</c:v>
                </c:pt>
                <c:pt idx="1">
                  <c:v>5332</c:v>
                </c:pt>
                <c:pt idx="2">
                  <c:v>664</c:v>
                </c:pt>
                <c:pt idx="3">
                  <c:v>763</c:v>
                </c:pt>
                <c:pt idx="4">
                  <c:v>713</c:v>
                </c:pt>
                <c:pt idx="5">
                  <c:v>1067.4757333333332</c:v>
                </c:pt>
                <c:pt idx="6">
                  <c:v>1230.5078298040887</c:v>
                </c:pt>
                <c:pt idx="7">
                  <c:v>1401.366591262308</c:v>
                </c:pt>
                <c:pt idx="8">
                  <c:v>1582.7318829305582</c:v>
                </c:pt>
                <c:pt idx="9">
                  <c:v>1777.0643636505788</c:v>
                </c:pt>
                <c:pt idx="10">
                  <c:v>1986.734976967236</c:v>
                </c:pt>
                <c:pt idx="11">
                  <c:v>2214.1160335696927</c:v>
                </c:pt>
                <c:pt idx="12">
                  <c:v>2461.6488765945519</c:v>
                </c:pt>
                <c:pt idx="13">
                  <c:v>2731.8972739479354</c:v>
                </c:pt>
                <c:pt idx="14">
                  <c:v>3027.5922857112023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95E-4A7B-A094-F2EE48BB8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2.9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13.01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1.64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2.53E-2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0.68884999999999996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5646903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2.9</v>
      </c>
      <c r="C282">
        <v>13.01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6.22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6.74</v>
      </c>
      <c r="C290">
        <v>5.25</v>
      </c>
      <c r="D290">
        <v>0.77</v>
      </c>
    </row>
    <row r="291" spans="1:4" x14ac:dyDescent="0.4">
      <c r="A291" t="s">
        <v>85</v>
      </c>
      <c r="B291">
        <v>2.5299999999999998</v>
      </c>
      <c r="C291">
        <v>1.33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6.85</v>
      </c>
      <c r="C443">
        <v>23.01</v>
      </c>
      <c r="D443">
        <v>3.98</v>
      </c>
      <c r="E443">
        <v>3.55</v>
      </c>
      <c r="F443"/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17478</v>
      </c>
      <c r="C482" s="194">
        <v>18057</v>
      </c>
      <c r="D482" s="194">
        <v>20691</v>
      </c>
      <c r="E482" s="194">
        <v>19188</v>
      </c>
      <c r="F482" s="194">
        <v>19188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754</v>
      </c>
      <c r="C483" s="194">
        <v>483</v>
      </c>
      <c r="D483" s="194">
        <v>588</v>
      </c>
      <c r="E483" s="194">
        <v>141</v>
      </c>
      <c r="F483" s="194">
        <v>141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754</v>
      </c>
      <c r="C484" s="194">
        <v>483</v>
      </c>
      <c r="D484" s="194">
        <v>588</v>
      </c>
      <c r="E484" s="194">
        <v>141</v>
      </c>
      <c r="F484" s="194">
        <v>141</v>
      </c>
      <c r="G484" s="194"/>
      <c r="H484" s="194"/>
      <c r="I484" s="194"/>
    </row>
    <row r="485" spans="1:9" x14ac:dyDescent="0.4">
      <c r="A485" t="s">
        <v>277</v>
      </c>
      <c r="B485" s="194">
        <v>505</v>
      </c>
      <c r="C485" s="194">
        <v>397</v>
      </c>
      <c r="D485" s="194">
        <v>292</v>
      </c>
      <c r="E485" s="194">
        <v>605</v>
      </c>
      <c r="F485" s="194">
        <v>605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226</v>
      </c>
      <c r="C486" s="194">
        <v>179</v>
      </c>
      <c r="D486" s="194">
        <v>141</v>
      </c>
      <c r="E486" s="194">
        <v>160</v>
      </c>
      <c r="F486" s="194">
        <v>160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279</v>
      </c>
      <c r="C487" s="194">
        <v>218</v>
      </c>
      <c r="D487" s="194">
        <v>151</v>
      </c>
      <c r="E487" s="194">
        <v>151</v>
      </c>
      <c r="F487" s="194">
        <v>151</v>
      </c>
    </row>
    <row r="488" spans="1:9" x14ac:dyDescent="0.4">
      <c r="A488" t="s">
        <v>280</v>
      </c>
      <c r="B488" s="194">
        <v>63456</v>
      </c>
      <c r="C488" s="194">
        <v>64652</v>
      </c>
      <c r="D488" s="194">
        <v>65253</v>
      </c>
      <c r="E488" s="194">
        <v>65253</v>
      </c>
      <c r="F488" s="194">
        <v>65253</v>
      </c>
    </row>
    <row r="489" spans="1:9" x14ac:dyDescent="0.4">
      <c r="A489" t="s">
        <v>281</v>
      </c>
      <c r="B489" s="194">
        <v>33602</v>
      </c>
      <c r="C489" s="194">
        <v>34159</v>
      </c>
      <c r="D489" s="194">
        <v>34507</v>
      </c>
      <c r="E489" s="194">
        <v>34507</v>
      </c>
      <c r="F489" s="194">
        <v>34507</v>
      </c>
    </row>
    <row r="490" spans="1:9" x14ac:dyDescent="0.4">
      <c r="A490" t="s">
        <v>282</v>
      </c>
      <c r="B490" s="194">
        <v>29854</v>
      </c>
      <c r="C490" s="194">
        <v>30493</v>
      </c>
      <c r="D490" s="194">
        <v>30746</v>
      </c>
      <c r="E490" s="194">
        <v>30746</v>
      </c>
      <c r="F490" s="194">
        <v>30746</v>
      </c>
    </row>
    <row r="491" spans="1:9" x14ac:dyDescent="0.4">
      <c r="A491" t="s">
        <v>283</v>
      </c>
      <c r="B491" s="194">
        <v>13900</v>
      </c>
      <c r="C491" s="194">
        <v>14022</v>
      </c>
      <c r="D491" s="194">
        <v>14140</v>
      </c>
      <c r="E491" s="194">
        <v>14140</v>
      </c>
      <c r="F491" s="194">
        <v>14140</v>
      </c>
    </row>
    <row r="492" spans="1:9" x14ac:dyDescent="0.4">
      <c r="A492" t="s">
        <v>284</v>
      </c>
      <c r="B492" s="194">
        <v>15954</v>
      </c>
      <c r="C492" s="194">
        <v>16471</v>
      </c>
      <c r="D492" s="194">
        <v>16606</v>
      </c>
      <c r="E492" s="194">
        <v>16606</v>
      </c>
      <c r="F492" s="194">
        <v>16606</v>
      </c>
    </row>
    <row r="493" spans="1:9" x14ac:dyDescent="0.4">
      <c r="A493" t="s">
        <v>285</v>
      </c>
      <c r="B493" s="194">
        <v>269</v>
      </c>
      <c r="C493" s="194">
        <v>269</v>
      </c>
      <c r="D493" s="196">
        <v>269</v>
      </c>
      <c r="E493" s="196">
        <v>269</v>
      </c>
      <c r="F493" s="196">
        <v>269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3.22</v>
      </c>
      <c r="C510">
        <v>2.48</v>
      </c>
      <c r="D510">
        <v>1.8</v>
      </c>
      <c r="E510">
        <v>1.8</v>
      </c>
      <c r="F510">
        <v>1.8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KG에코솔루션</v>
      </c>
      <c r="D4" s="82" t="s">
        <v>340</v>
      </c>
      <c r="E4" s="83">
        <f ca="1">Data!B7</f>
        <v>47603002</v>
      </c>
      <c r="F4" s="84"/>
      <c r="G4" s="84"/>
      <c r="H4" s="85"/>
    </row>
    <row r="5" spans="2:34" x14ac:dyDescent="0.4">
      <c r="B5" s="86" t="s">
        <v>341</v>
      </c>
      <c r="C5" s="87">
        <f ca="1">Data!B5</f>
        <v>6790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0.68884999999999996</v>
      </c>
      <c r="D6" s="88" t="s">
        <v>344</v>
      </c>
      <c r="E6" s="89">
        <f ca="1">Data!B8</f>
        <v>5646903</v>
      </c>
      <c r="H6" s="90"/>
      <c r="AD6" s="32" t="s">
        <v>345</v>
      </c>
      <c r="AE6" s="32" t="s">
        <v>346</v>
      </c>
      <c r="AF6" s="3">
        <f ca="1">G24</f>
        <v>4.5649072753209702E-2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 ca="1"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6.8716666666666662E-2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4.5649072753209702E-2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6.8716666666666662E-2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0.16320000000000001</v>
      </c>
      <c r="D22" s="120">
        <f>Data!C40</f>
        <v>0.90110000000000001</v>
      </c>
      <c r="E22" s="121">
        <f>Data!D40</f>
        <v>7.5300000000000006E-2</v>
      </c>
      <c r="F22" s="122">
        <f>Data!E40</f>
        <v>6.7400000000000002E-2</v>
      </c>
      <c r="G22" s="122">
        <f>Data!F40</f>
        <v>6.7400000000000002E-2</v>
      </c>
      <c r="H22" s="123">
        <f ca="1">Data!K78</f>
        <v>4.5649072753209702E-2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 ca="1">IF(Data!I40="","컨센 없음",Data!I40)</f>
        <v>컨센 없음</v>
      </c>
      <c r="F24" s="131">
        <f ca="1">IF(H22="분기자료부족",(G22*3+F22*2+E22)/6,IF(N21=0,(G22*3+F22*2+E22)/6,(H22*3+G22*L21+F22)/M21))</f>
        <v>6.8716666666666662E-2</v>
      </c>
      <c r="G24" s="122">
        <f ca="1">IF(E24="컨센 없음",IF(D24="컨센 없음",IF(C24="컨센 없음",IF(H22="분기자료부족",J22,IF(I21="상승추세",H22,IF(I22="하락추세",H22,F24))),C24),D24),E24)</f>
        <v>4.5649072753209702E-2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6790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25193.072062436775</v>
      </c>
      <c r="D28" s="143">
        <f ca="1">C27/C28-1</f>
        <v>-0.73048146001519254</v>
      </c>
      <c r="E28" s="144" t="s">
        <v>368</v>
      </c>
      <c r="F28" s="145">
        <f ca="1">RIM계산!C11</f>
        <v>25193.072062436775</v>
      </c>
      <c r="G28" s="146">
        <f ca="1">RIM계산!E11</f>
        <v>14.824726866279544</v>
      </c>
    </row>
    <row r="29" spans="2:14" x14ac:dyDescent="0.4">
      <c r="B29" s="147" t="s">
        <v>369</v>
      </c>
      <c r="C29" s="148">
        <f ca="1">IF(C26="초과이익 가정",IF(F31="정배열",F28,F30),C28*(1+D26))</f>
        <v>30818.98121580105</v>
      </c>
      <c r="E29" s="149" t="s">
        <v>370</v>
      </c>
      <c r="F29" s="150">
        <f ca="1">RIM계산!C12</f>
        <v>28696.11901231678</v>
      </c>
      <c r="G29" s="151">
        <f ca="1">RIM계산!E12</f>
        <v>16.886075879334435</v>
      </c>
    </row>
    <row r="30" spans="2:14" x14ac:dyDescent="0.4">
      <c r="B30" s="152" t="s">
        <v>371</v>
      </c>
      <c r="C30" s="153">
        <f ca="1">IF(C26="초과이익 가정",IF(F31="정배열",F30,F28),C28*(1-D26))</f>
        <v>25193.072062436775</v>
      </c>
      <c r="E30" s="149" t="s">
        <v>372</v>
      </c>
      <c r="F30" s="154">
        <f ca="1">RIM계산!C13</f>
        <v>30818.98121580105</v>
      </c>
      <c r="G30" s="155">
        <f ca="1">RIM계산!E13</f>
        <v>18.13526265034066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120</v>
      </c>
      <c r="D34" s="162">
        <f>Data!C43</f>
        <v>150</v>
      </c>
      <c r="E34" s="162">
        <f>Data!D43</f>
        <v>120</v>
      </c>
      <c r="F34" s="162">
        <f>Data!E43</f>
        <v>120</v>
      </c>
      <c r="G34" s="162">
        <f>Data!F43</f>
        <v>150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8.199999999999999E-3</v>
      </c>
      <c r="D35" s="165">
        <f>Data!C44</f>
        <v>1.5699999999999999E-2</v>
      </c>
      <c r="E35" s="165">
        <f>Data!D44</f>
        <v>1.06E-2</v>
      </c>
      <c r="F35" s="165">
        <f>Data!E44</f>
        <v>2.53E-2</v>
      </c>
      <c r="G35" s="165">
        <f>Data!F44</f>
        <v>0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6.8499999999999991E-2</v>
      </c>
      <c r="D36" s="6">
        <f ca="1">Data!C39</f>
        <v>0.23010000000000003</v>
      </c>
      <c r="E36" s="6">
        <f ca="1">Data!D39</f>
        <v>3.9800000000000002E-2</v>
      </c>
      <c r="F36" s="6">
        <f ca="1">Data!E39</f>
        <v>3.5499999999999997E-2</v>
      </c>
      <c r="G36" s="6">
        <f ca="1">Data!F39</f>
        <v>0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1331</v>
      </c>
      <c r="D37" s="71">
        <f>Data!C41</f>
        <v>14812</v>
      </c>
      <c r="E37" s="71">
        <f>Data!D41</f>
        <v>1844</v>
      </c>
      <c r="F37" s="71">
        <f>Data!E41</f>
        <v>1636</v>
      </c>
      <c r="G37" s="71">
        <f>Data!F41</f>
        <v>1497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8862</v>
      </c>
      <c r="D38" s="71">
        <f>Data!C42</f>
        <v>24012</v>
      </c>
      <c r="E38" s="71">
        <f>Data!D42</f>
        <v>24975</v>
      </c>
      <c r="F38" s="71">
        <f>Data!E42</f>
        <v>27986</v>
      </c>
      <c r="G38" s="71">
        <f>Data!F42</f>
        <v>27986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1.3540961408259987E-2</v>
      </c>
      <c r="D39" s="169">
        <f t="shared" si="0"/>
        <v>6.2468765617191401E-3</v>
      </c>
      <c r="E39" s="169">
        <f t="shared" si="0"/>
        <v>4.8048048048048046E-3</v>
      </c>
      <c r="F39" s="169">
        <f t="shared" si="0"/>
        <v>4.2878582148216963E-3</v>
      </c>
      <c r="G39" s="169">
        <f t="shared" si="0"/>
        <v>5.3598227685271206E-3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KG에코솔루션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6.7400000000000002E-2</v>
      </c>
      <c r="D42" s="6">
        <f>Data!C85</f>
        <v>5.2499999999999998E-2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2.9</v>
      </c>
      <c r="D43" s="183">
        <f>Data!C86</f>
        <v>13.01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2.53E-2</v>
      </c>
      <c r="D44" s="188">
        <f>Data!C87</f>
        <v>1.3299999999999999E-2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KG에코솔루션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6790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6,790/ </v>
      </c>
    </row>
    <row r="6" spans="1:9" x14ac:dyDescent="0.4">
      <c r="A6" s="15" t="s">
        <v>114</v>
      </c>
      <c r="B6" s="15">
        <f ca="1">I6</f>
        <v>0.68884999999999996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0.68884999999999996</v>
      </c>
    </row>
    <row r="7" spans="1:9" x14ac:dyDescent="0.4">
      <c r="A7" s="15" t="s">
        <v>123</v>
      </c>
      <c r="B7" s="66">
        <f ca="1">LEFT(I7,SEARCHB("/",I7)-1)*1</f>
        <v>47603002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47,603,002/ 0</v>
      </c>
    </row>
    <row r="8" spans="1:9" x14ac:dyDescent="0.4">
      <c r="A8" s="15" t="s">
        <v>177</v>
      </c>
      <c r="B8" s="66">
        <f ca="1">I8</f>
        <v>5646903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5646903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2.9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2.9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13.01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13.01</v>
      </c>
    </row>
    <row r="19" spans="1:9" x14ac:dyDescent="0.4">
      <c r="A19" s="9" t="s">
        <v>247</v>
      </c>
      <c r="B19" s="9">
        <f t="shared" ca="1" si="0"/>
        <v>6.22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6.22</v>
      </c>
    </row>
    <row r="20" spans="1:9" x14ac:dyDescent="0.4">
      <c r="A20" s="9" t="s">
        <v>84</v>
      </c>
      <c r="B20" s="9">
        <f t="shared" ca="1" si="0"/>
        <v>1.64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1.64</v>
      </c>
    </row>
    <row r="21" spans="1:9" x14ac:dyDescent="0.4">
      <c r="A21" s="9" t="s">
        <v>85</v>
      </c>
      <c r="B21" s="69">
        <f t="shared" ca="1" si="0"/>
        <v>2.53E-2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2.53E-2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1" t="s">
        <v>272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f>H26+1</f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34125</v>
      </c>
      <c r="C27" s="71">
        <v>49442</v>
      </c>
      <c r="D27" s="71">
        <v>72572</v>
      </c>
      <c r="E27" s="71">
        <v>72849</v>
      </c>
      <c r="F27" s="71">
        <v>75415</v>
      </c>
      <c r="G27" s="71"/>
      <c r="H27" s="71"/>
      <c r="I27" s="71">
        <f t="shared" ref="I27:I38" ca="1" si="3">IF(OFFSET(INDIRECT($H$24),ROW()-18,COLUMN()-1,1,1)=0,"",OFFSET(INDIRECT($H$24),ROW()-18,COLUMN()-1,1,1))</f>
        <v>3513130</v>
      </c>
    </row>
    <row r="28" spans="1:9" x14ac:dyDescent="0.4">
      <c r="A28" s="72" t="str">
        <f t="shared" ca="1" si="2"/>
        <v>영업이익</v>
      </c>
      <c r="B28" s="71">
        <v>3066</v>
      </c>
      <c r="C28" s="71">
        <v>3562</v>
      </c>
      <c r="D28" s="71">
        <v>3098</v>
      </c>
      <c r="E28" s="71">
        <v>2265</v>
      </c>
      <c r="F28" s="71">
        <v>1967</v>
      </c>
      <c r="G28" s="71"/>
      <c r="H28" s="71"/>
      <c r="I28" s="71">
        <f t="shared" ca="1" si="3"/>
        <v>771440</v>
      </c>
    </row>
    <row r="29" spans="1:9" x14ac:dyDescent="0.4">
      <c r="A29" s="72" t="str">
        <f t="shared" ca="1" si="2"/>
        <v>영업이익(발표기준)</v>
      </c>
      <c r="B29" s="71">
        <v>3066</v>
      </c>
      <c r="C29" s="71">
        <v>3562</v>
      </c>
      <c r="D29" s="71">
        <v>3098</v>
      </c>
      <c r="E29" s="71">
        <v>2265</v>
      </c>
      <c r="F29" s="71">
        <v>1967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t="shared" ca="1" si="3"/>
        <v/>
      </c>
    </row>
    <row r="30" spans="1:9" x14ac:dyDescent="0.4">
      <c r="A30" s="72" t="str">
        <f t="shared" ca="1" si="2"/>
        <v>당기순이익</v>
      </c>
      <c r="B30" s="71">
        <v>1926</v>
      </c>
      <c r="C30" s="71">
        <v>9495</v>
      </c>
      <c r="D30" s="71">
        <v>2196</v>
      </c>
      <c r="E30" s="71">
        <v>2142</v>
      </c>
      <c r="F30" s="71">
        <v>1799</v>
      </c>
      <c r="G30" s="71"/>
      <c r="H30" s="71"/>
      <c r="I30" s="71">
        <f t="shared" ca="1" si="3"/>
        <v>585140</v>
      </c>
    </row>
    <row r="31" spans="1:9" x14ac:dyDescent="0.4">
      <c r="A31" s="73" t="str">
        <f t="shared" ca="1" si="2"/>
        <v>  지배주주순이익</v>
      </c>
      <c r="B31" s="74">
        <v>479</v>
      </c>
      <c r="C31" s="74">
        <v>5332</v>
      </c>
      <c r="D31" s="74">
        <v>664</v>
      </c>
      <c r="E31" s="74">
        <v>763</v>
      </c>
      <c r="F31" s="74">
        <v>713</v>
      </c>
      <c r="G31" s="74"/>
      <c r="H31" s="74"/>
      <c r="I31" s="74" t="str">
        <f t="shared" ca="1" si="3"/>
        <v/>
      </c>
    </row>
    <row r="32" spans="1:9" x14ac:dyDescent="0.4">
      <c r="A32" s="72" t="str">
        <f t="shared" ca="1" si="2"/>
        <v>  비지배주주순이익</v>
      </c>
      <c r="B32" s="71">
        <v>1447</v>
      </c>
      <c r="C32" s="71">
        <v>4163</v>
      </c>
      <c r="D32" s="71">
        <v>1532</v>
      </c>
      <c r="E32" s="71">
        <v>1380</v>
      </c>
      <c r="F32" s="71"/>
      <c r="G32" s="71" t="str">
        <f t="shared" ref="G32:H35" ca="1" si="4">IF(OFFSET(INDIRECT($H$24),ROW()-18,COLUMN()-1,1,1)=0,"",OFFSET(INDIRECT($H$24),ROW()-18,COLUMN()-1,1,1))</f>
        <v/>
      </c>
      <c r="H32" s="71" t="str">
        <f t="shared" ca="1" si="4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30675</v>
      </c>
      <c r="C33" s="71">
        <v>51866</v>
      </c>
      <c r="D33" s="71">
        <v>58418</v>
      </c>
      <c r="E33" s="71">
        <v>62134</v>
      </c>
      <c r="F33" s="71"/>
      <c r="G33" s="71">
        <f t="shared" ca="1" si="4"/>
        <v>4561023</v>
      </c>
      <c r="H33" s="71">
        <f t="shared" ca="1" si="4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18316</v>
      </c>
      <c r="C34" s="71">
        <v>25228</v>
      </c>
      <c r="D34" s="71">
        <v>30066</v>
      </c>
      <c r="E34" s="71">
        <v>32544</v>
      </c>
      <c r="F34" s="71"/>
      <c r="G34" s="71">
        <f t="shared" ca="1" si="4"/>
        <v>1194703</v>
      </c>
      <c r="H34" s="71">
        <f t="shared" ca="1" si="4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12359</v>
      </c>
      <c r="C35" s="71">
        <v>26638</v>
      </c>
      <c r="D35" s="71">
        <v>28352</v>
      </c>
      <c r="E35" s="71">
        <v>29589</v>
      </c>
      <c r="F35" s="71"/>
      <c r="G35" s="71">
        <f t="shared" ca="1" si="4"/>
        <v>3366321</v>
      </c>
      <c r="H35" s="71">
        <f t="shared" ca="1" si="4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3190</v>
      </c>
      <c r="C36" s="74">
        <v>8644</v>
      </c>
      <c r="D36" s="74">
        <v>8991</v>
      </c>
      <c r="E36" s="74">
        <v>13649</v>
      </c>
      <c r="F36" s="74">
        <v>13649</v>
      </c>
      <c r="G36" s="74"/>
      <c r="H36" s="74"/>
      <c r="I36" s="74" t="str">
        <f t="shared" ca="1" si="3"/>
        <v/>
      </c>
    </row>
    <row r="37" spans="1:9" x14ac:dyDescent="0.4">
      <c r="A37" s="72" t="str">
        <f t="shared" ca="1" si="2"/>
        <v>  비지배주주지분</v>
      </c>
      <c r="B37" s="71">
        <v>9169</v>
      </c>
      <c r="C37" s="71">
        <v>17994</v>
      </c>
      <c r="D37" s="71">
        <v>19361</v>
      </c>
      <c r="E37" s="71">
        <v>15941</v>
      </c>
      <c r="F37" s="71"/>
      <c r="G37" s="71">
        <f ca="1">IF(OFFSET(INDIRECT($H$24),ROW()-18,COLUMN()-1,1,1)=0,"",OFFSET(INDIRECT($H$24),ROW()-18,COLUMN()-1,1,1))</f>
        <v>99222</v>
      </c>
      <c r="H37" s="71">
        <f ca="1">IF(OFFSET(INDIRECT($H$24),ROW()-18,COLUMN()-1,1,1)=0,"",OFFSET(INDIRECT($H$24),ROW()-18,COLUMN()-1,1,1))</f>
        <v>111326</v>
      </c>
      <c r="I37" s="71" t="str">
        <f t="shared" ca="1" si="3"/>
        <v/>
      </c>
    </row>
    <row r="38" spans="1:9" x14ac:dyDescent="0.4">
      <c r="A38" s="72" t="str">
        <f t="shared" ca="1" si="2"/>
        <v>자본금</v>
      </c>
      <c r="B38" s="71">
        <v>201</v>
      </c>
      <c r="C38" s="71">
        <v>201</v>
      </c>
      <c r="D38" s="71">
        <v>201</v>
      </c>
      <c r="E38" s="71">
        <v>269</v>
      </c>
      <c r="F38" s="71"/>
      <c r="G38" s="71">
        <f ca="1">IF(OFFSET(INDIRECT($H$24),ROW()-18,COLUMN()-1,1,1)=0,"",OFFSET(INDIRECT($H$24),ROW()-18,COLUMN()-1,1,1))</f>
        <v>8979</v>
      </c>
      <c r="H38" s="71">
        <f ca="1">IF(OFFSET(INDIRECT($H$24),ROW()-18,COLUMN()-1,1,1)=0,"",OFFSET(INDIRECT($H$24),ROW()-18,COLUMN()-1,1,1))</f>
        <v>8979</v>
      </c>
      <c r="I38" s="71" t="str">
        <f t="shared" ca="1" si="3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6.8499999999999991E-2</v>
      </c>
      <c r="C39" s="75">
        <f ca="1">OFFSET(INDIRECT($H$24),ROW()-2,COLUMN()-1,1,1)/100</f>
        <v>0.23010000000000003</v>
      </c>
      <c r="D39" s="75">
        <f ca="1">OFFSET(INDIRECT($H$24),ROW()-2,COLUMN()-1,1,1)/100</f>
        <v>3.9800000000000002E-2</v>
      </c>
      <c r="E39" s="75">
        <f ca="1">OFFSET(INDIRECT($H$24),ROW()-2,COLUMN()-1,1,1)/100</f>
        <v>3.5499999999999997E-2</v>
      </c>
      <c r="F39" s="75">
        <f ca="1">OFFSET(INDIRECT($H$24),ROW()-2,COLUMN()-1,1,1)/100</f>
        <v>0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0.16320000000000001</v>
      </c>
      <c r="C40" s="75">
        <v>0.90110000000000001</v>
      </c>
      <c r="D40" s="75">
        <v>7.5300000000000006E-2</v>
      </c>
      <c r="E40" s="75">
        <v>6.7400000000000002E-2</v>
      </c>
      <c r="F40" s="75">
        <v>6.7400000000000002E-2</v>
      </c>
      <c r="G40" s="75"/>
      <c r="H40" s="75"/>
      <c r="I40" s="75" t="str">
        <f ca="1">IF(OFFSET(INDIRECT($H$24),ROW()+1,COLUMN()-1,1,1)=0,"",OFFSET(INDIRECT($H$24),ROW()+1,COLUMN()-1,1,1)/100)</f>
        <v/>
      </c>
    </row>
    <row r="41" spans="1:9" ht="16.5" customHeight="1" x14ac:dyDescent="0.4">
      <c r="A41" s="72" t="str">
        <f ca="1">OFFSET(INDIRECT($H$24),ROW()+4,COLUMN()-1,1,1)</f>
        <v>EPS(원)</v>
      </c>
      <c r="B41" s="71">
        <v>1331</v>
      </c>
      <c r="C41" s="71">
        <v>14812</v>
      </c>
      <c r="D41" s="71">
        <v>1844</v>
      </c>
      <c r="E41" s="71">
        <v>1636</v>
      </c>
      <c r="F41" s="71">
        <v>1497</v>
      </c>
      <c r="G41" s="71"/>
      <c r="H41" s="71"/>
      <c r="I41" s="71" t="str">
        <f ca="1">IF(OFFSET(INDIRECT($H$24),ROW()+4,COLUMN()-1,1,1)=0,"",OFFSET(INDIRECT($H$24),ROW()+4,COLUMN()-1,1,1))</f>
        <v/>
      </c>
    </row>
    <row r="42" spans="1:9" ht="16.5" customHeight="1" x14ac:dyDescent="0.4">
      <c r="A42" s="72" t="str">
        <f ca="1">OFFSET(INDIRECT($H$24),ROW()+7,COLUMN()-1,1,1)</f>
        <v>BPS(원)</v>
      </c>
      <c r="B42" s="71">
        <v>8862</v>
      </c>
      <c r="C42" s="71">
        <v>24012</v>
      </c>
      <c r="D42" s="71">
        <v>24975</v>
      </c>
      <c r="E42" s="71">
        <v>27986</v>
      </c>
      <c r="F42" s="71">
        <v>27986</v>
      </c>
      <c r="G42" s="71"/>
      <c r="H42" s="71"/>
      <c r="I42" s="71" t="str">
        <f ca="1">IF(OFFSET(INDIRECT($H$24),ROW()+7,COLUMN()-1,1,1)=0,"",OFFSET(INDIRECT($H$24),ROW()+7,COLUMN()-1,1,1))</f>
        <v/>
      </c>
    </row>
    <row r="43" spans="1:9" ht="16.5" customHeight="1" x14ac:dyDescent="0.4">
      <c r="A43" s="72" t="str">
        <f ca="1">OFFSET(INDIRECT($H$24),ROW()+10,COLUMN()-1,1,1)</f>
        <v>DPS(원)</v>
      </c>
      <c r="B43" s="71">
        <v>120</v>
      </c>
      <c r="C43" s="71">
        <v>150</v>
      </c>
      <c r="D43" s="71">
        <v>120</v>
      </c>
      <c r="E43" s="71">
        <v>120</v>
      </c>
      <c r="F43" s="71">
        <v>150</v>
      </c>
      <c r="G43" s="71"/>
      <c r="H43" s="71"/>
      <c r="I43" s="71">
        <f ca="1">OFFSET(INDIRECT($H$24),ROW()+10,COLUMN()-1,1,1)</f>
        <v>0</v>
      </c>
    </row>
    <row r="44" spans="1:9" ht="16.5" customHeight="1" x14ac:dyDescent="0.4">
      <c r="A44" s="72" t="str">
        <f ca="1">OFFSET(INDIRECT($H$24),ROW()+22,COLUMN()-1,1,1)</f>
        <v>배당수익률(%)</v>
      </c>
      <c r="B44" s="75">
        <v>8.199999999999999E-3</v>
      </c>
      <c r="C44" s="75">
        <v>1.5699999999999999E-2</v>
      </c>
      <c r="D44" s="75">
        <v>1.06E-2</v>
      </c>
      <c r="E44" s="75">
        <v>2.53E-2</v>
      </c>
      <c r="F44" s="75"/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17478</v>
      </c>
      <c r="C51" s="71">
        <f t="shared" ca="1" si="5"/>
        <v>18057</v>
      </c>
      <c r="D51" s="71">
        <f t="shared" ca="1" si="5"/>
        <v>20691</v>
      </c>
      <c r="E51" s="71">
        <f t="shared" ca="1" si="5"/>
        <v>19188</v>
      </c>
      <c r="F51" s="71">
        <f t="shared" ca="1" si="5"/>
        <v>19188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13900</v>
      </c>
    </row>
    <row r="52" spans="1:11" x14ac:dyDescent="0.4">
      <c r="A52" s="72" t="str">
        <f t="shared" ca="1" si="5"/>
        <v>영업이익</v>
      </c>
      <c r="B52" s="71">
        <f t="shared" ca="1" si="5"/>
        <v>754</v>
      </c>
      <c r="C52" s="71">
        <f t="shared" ca="1" si="5"/>
        <v>483</v>
      </c>
      <c r="D52" s="71">
        <f t="shared" ca="1" si="5"/>
        <v>588</v>
      </c>
      <c r="E52" s="71">
        <f t="shared" ca="1" si="5"/>
        <v>141</v>
      </c>
      <c r="F52" s="71">
        <f t="shared" ca="1" si="5"/>
        <v>141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754</v>
      </c>
      <c r="C53" s="71">
        <f t="shared" ca="1" si="5"/>
        <v>483</v>
      </c>
      <c r="D53" s="71">
        <f t="shared" ca="1" si="5"/>
        <v>588</v>
      </c>
      <c r="E53" s="71">
        <f t="shared" ca="1" si="5"/>
        <v>141</v>
      </c>
      <c r="F53" s="71">
        <f t="shared" ca="1" si="5"/>
        <v>141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505</v>
      </c>
      <c r="C54" s="71">
        <f t="shared" ca="1" si="5"/>
        <v>397</v>
      </c>
      <c r="D54" s="71">
        <f t="shared" ca="1" si="5"/>
        <v>292</v>
      </c>
      <c r="E54" s="71">
        <f t="shared" ca="1" si="5"/>
        <v>605</v>
      </c>
      <c r="F54" s="71">
        <f t="shared" ca="1" si="5"/>
        <v>605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226</v>
      </c>
      <c r="C55" s="71">
        <f t="shared" ca="1" si="5"/>
        <v>179</v>
      </c>
      <c r="D55" s="71">
        <f t="shared" ca="1" si="5"/>
        <v>141</v>
      </c>
      <c r="E55" s="71">
        <f t="shared" ca="1" si="5"/>
        <v>160</v>
      </c>
      <c r="F55" s="71">
        <f t="shared" ca="1" si="5"/>
        <v>160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640</v>
      </c>
    </row>
    <row r="56" spans="1:11" x14ac:dyDescent="0.4">
      <c r="A56" s="72" t="str">
        <f t="shared" ca="1" si="5"/>
        <v>  비지배주주순이익</v>
      </c>
      <c r="B56" s="71">
        <f t="shared" ca="1" si="5"/>
        <v>279</v>
      </c>
      <c r="C56" s="71">
        <f t="shared" ca="1" si="5"/>
        <v>218</v>
      </c>
      <c r="D56" s="71">
        <f t="shared" ca="1" si="5"/>
        <v>151</v>
      </c>
      <c r="E56" s="71">
        <f t="shared" ca="1" si="5"/>
        <v>151</v>
      </c>
      <c r="F56" s="71">
        <f t="shared" ca="1" si="5"/>
        <v>151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63456</v>
      </c>
      <c r="C57" s="71">
        <f t="shared" ca="1" si="5"/>
        <v>64652</v>
      </c>
      <c r="D57" s="71">
        <f t="shared" ca="1" si="5"/>
        <v>65253</v>
      </c>
      <c r="E57" s="71">
        <f t="shared" ca="1" si="5"/>
        <v>65253</v>
      </c>
      <c r="F57" s="71">
        <f t="shared" ca="1" si="5"/>
        <v>65253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33602</v>
      </c>
      <c r="C58" s="71">
        <f t="shared" ca="1" si="5"/>
        <v>34159</v>
      </c>
      <c r="D58" s="71">
        <f t="shared" ca="1" si="5"/>
        <v>34507</v>
      </c>
      <c r="E58" s="71">
        <f t="shared" ca="1" si="5"/>
        <v>34507</v>
      </c>
      <c r="F58" s="71">
        <f t="shared" ca="1" si="5"/>
        <v>34507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29854</v>
      </c>
      <c r="C59" s="71">
        <f t="shared" ca="1" si="5"/>
        <v>30493</v>
      </c>
      <c r="D59" s="71">
        <f t="shared" ca="1" si="5"/>
        <v>30746</v>
      </c>
      <c r="E59" s="71">
        <f t="shared" ca="1" si="5"/>
        <v>30746</v>
      </c>
      <c r="F59" s="71">
        <f t="shared" ca="1" si="5"/>
        <v>30746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13900</v>
      </c>
      <c r="C60" s="71">
        <f t="shared" ca="1" si="5"/>
        <v>14022</v>
      </c>
      <c r="D60" s="71">
        <f t="shared" ca="1" si="5"/>
        <v>14140</v>
      </c>
      <c r="E60" s="71">
        <f t="shared" ca="1" si="5"/>
        <v>14140</v>
      </c>
      <c r="F60" s="71">
        <f t="shared" ca="1" si="5"/>
        <v>14140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14020</v>
      </c>
    </row>
    <row r="61" spans="1:11" x14ac:dyDescent="0.4">
      <c r="A61" s="72" t="str">
        <f t="shared" ca="1" si="5"/>
        <v>  비지배주주지분</v>
      </c>
      <c r="B61" s="71">
        <f t="shared" ca="1" si="5"/>
        <v>15954</v>
      </c>
      <c r="C61" s="71">
        <f t="shared" ca="1" si="5"/>
        <v>16471</v>
      </c>
      <c r="D61" s="71">
        <f t="shared" ca="1" si="5"/>
        <v>16606</v>
      </c>
      <c r="E61" s="71">
        <f t="shared" ca="1" si="5"/>
        <v>16606</v>
      </c>
      <c r="F61" s="71">
        <f t="shared" ca="1" si="5"/>
        <v>16606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4.5649072753209702E-2</v>
      </c>
    </row>
    <row r="62" spans="1:11" x14ac:dyDescent="0.4">
      <c r="A62" s="72" t="str">
        <f t="shared" ca="1" si="5"/>
        <v>자본금</v>
      </c>
      <c r="B62" s="71">
        <f t="shared" ca="1" si="5"/>
        <v>269</v>
      </c>
      <c r="C62" s="71">
        <f t="shared" ca="1" si="5"/>
        <v>269</v>
      </c>
      <c r="D62" s="71">
        <f t="shared" ca="1" si="5"/>
        <v>269</v>
      </c>
      <c r="E62" s="71">
        <f t="shared" ca="1" si="5"/>
        <v>269</v>
      </c>
      <c r="F62" s="71">
        <f t="shared" ca="1" si="5"/>
        <v>269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4.5649072753209702E-2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6.7400000000000002E-2</v>
      </c>
      <c r="C85" s="75">
        <v>5.2499999999999998E-2</v>
      </c>
      <c r="D85" s="75">
        <v>7.7000000000000002E-3</v>
      </c>
    </row>
    <row r="86" spans="1:9" x14ac:dyDescent="0.4">
      <c r="A86" s="9" t="s">
        <v>74</v>
      </c>
      <c r="B86" s="183">
        <v>2.9</v>
      </c>
      <c r="C86" s="183">
        <v>13.01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2.53E-2</v>
      </c>
      <c r="C87" s="75">
        <v>1.3299999999999999E-2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0.16320000000000001</v>
      </c>
      <c r="F2" s="174">
        <f>Data!C40</f>
        <v>0.90110000000000001</v>
      </c>
      <c r="G2" s="174">
        <f>Data!D40</f>
        <v>7.5300000000000006E-2</v>
      </c>
      <c r="H2" s="174">
        <f>Data!E40</f>
        <v>6.7400000000000002E-2</v>
      </c>
      <c r="I2" s="174">
        <f>Data!F40</f>
        <v>6.7400000000000002E-2</v>
      </c>
      <c r="J2" s="174">
        <f>Data!G40</f>
        <v>0</v>
      </c>
      <c r="K2" s="174">
        <f>Data!H40</f>
        <v>0</v>
      </c>
      <c r="L2" s="174" t="str">
        <f ca="1">Data!I40</f>
        <v/>
      </c>
      <c r="M2" s="174">
        <f ca="1">Data!K78</f>
        <v>4.5649072753209702E-2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3190</v>
      </c>
      <c r="F3" s="76">
        <f>Data!C36</f>
        <v>8644</v>
      </c>
      <c r="G3" s="76">
        <f>Data!D36</f>
        <v>8991</v>
      </c>
      <c r="H3" s="76">
        <f>Data!E36</f>
        <v>13649</v>
      </c>
      <c r="I3" s="76">
        <f>Data!F36</f>
        <v>13649</v>
      </c>
      <c r="J3" s="76">
        <f>Data!G36</f>
        <v>0</v>
      </c>
      <c r="K3" s="76">
        <f>Data!H36</f>
        <v>0</v>
      </c>
      <c r="L3" s="76" t="str">
        <f ca="1">Data!I36</f>
        <v/>
      </c>
      <c r="M3" s="76">
        <f ca="1">IF(ISERR(Data!K61),IF(Data!K69=0,Data!F36,Data!F75),Data!F60)</f>
        <v>14140</v>
      </c>
    </row>
    <row r="4" spans="1:13" x14ac:dyDescent="0.4">
      <c r="A4" s="15" t="s">
        <v>384</v>
      </c>
      <c r="B4" s="13">
        <f ca="1">Data!B7+Data!C7</f>
        <v>47603002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5646903</v>
      </c>
      <c r="D5" s="1" t="s">
        <v>385</v>
      </c>
      <c r="E5" s="76">
        <f>Data!B31</f>
        <v>479</v>
      </c>
      <c r="F5" s="76">
        <f>Data!C31</f>
        <v>5332</v>
      </c>
      <c r="G5" s="76">
        <f>Data!D31</f>
        <v>664</v>
      </c>
      <c r="H5" s="76">
        <f>Data!E31</f>
        <v>763</v>
      </c>
      <c r="I5" s="76">
        <f>Data!F31</f>
        <v>713</v>
      </c>
      <c r="J5" s="76">
        <f>Data!G31</f>
        <v>0</v>
      </c>
      <c r="K5" s="76">
        <f>Data!H31</f>
        <v>0</v>
      </c>
      <c r="L5" s="76" t="str">
        <f ca="1">Data!I31</f>
        <v/>
      </c>
      <c r="M5" s="76">
        <f ca="1">IF(ISERR(Data!K61),IF(Data!K69=0,Data!F31,Data!K72),Data!K55)</f>
        <v>640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6.8716666666666662E-2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14140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10570.030255657315</v>
      </c>
      <c r="C11" s="41">
        <f ca="1">C26</f>
        <v>25193.072062436775</v>
      </c>
      <c r="D11" s="42" t="s">
        <v>369</v>
      </c>
      <c r="E11" s="176">
        <f ca="1">B11/$I$5</f>
        <v>14.824726866279544</v>
      </c>
    </row>
    <row r="12" spans="1:13" ht="16.5" customHeight="1" x14ac:dyDescent="0.4">
      <c r="A12" s="35" t="s">
        <v>370</v>
      </c>
      <c r="B12" s="36">
        <f ca="1">C38</f>
        <v>12039.772101965451</v>
      </c>
      <c r="C12" s="37">
        <f ca="1">C39</f>
        <v>28696.11901231678</v>
      </c>
      <c r="D12" s="38" t="s">
        <v>394</v>
      </c>
      <c r="E12" s="177">
        <f ca="1">B12/$I$5</f>
        <v>16.886075879334435</v>
      </c>
    </row>
    <row r="13" spans="1:13" ht="16.5" customHeight="1" x14ac:dyDescent="0.4">
      <c r="A13" s="43" t="s">
        <v>372</v>
      </c>
      <c r="B13" s="44">
        <f ca="1">C51</f>
        <v>12930.44226969289</v>
      </c>
      <c r="C13" s="45">
        <f ca="1">C52</f>
        <v>30818.98121580105</v>
      </c>
      <c r="D13" s="46" t="s">
        <v>371</v>
      </c>
      <c r="E13" s="178">
        <f ca="1">B13/$I$5</f>
        <v>18.13526265034066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-3.3883333333333335E-2</v>
      </c>
      <c r="C18" s="19">
        <f t="shared" ref="C18:L18" ca="1" si="2">IF(YEAR(C16)&gt;$J$7,0,B18*$B$15)</f>
        <v>-3.3883333333333335E-2</v>
      </c>
      <c r="D18" s="19">
        <f t="shared" ca="1" si="2"/>
        <v>-3.3883333333333335E-2</v>
      </c>
      <c r="E18" s="19">
        <f t="shared" ca="1" si="2"/>
        <v>-3.3883333333333335E-2</v>
      </c>
      <c r="F18" s="19">
        <f t="shared" ca="1" si="2"/>
        <v>-3.3883333333333335E-2</v>
      </c>
      <c r="G18" s="19">
        <f t="shared" ca="1" si="2"/>
        <v>-3.3883333333333335E-2</v>
      </c>
      <c r="H18" s="19">
        <f t="shared" ca="1" si="2"/>
        <v>-3.3883333333333335E-2</v>
      </c>
      <c r="I18" s="19">
        <f t="shared" ca="1" si="2"/>
        <v>-3.3883333333333335E-2</v>
      </c>
      <c r="J18" s="19">
        <f t="shared" ca="1" si="2"/>
        <v>-3.3883333333333335E-2</v>
      </c>
      <c r="K18" s="19">
        <f t="shared" ca="1" si="2"/>
        <v>-3.3883333333333335E-2</v>
      </c>
      <c r="L18" s="19">
        <f t="shared" ca="1" si="2"/>
        <v>-3.3883333333333335E-2</v>
      </c>
    </row>
    <row r="19" spans="1:12" x14ac:dyDescent="0.4">
      <c r="A19" s="15" t="s">
        <v>249</v>
      </c>
      <c r="B19" s="19">
        <f t="shared" ref="B19:L19" ca="1" si="3">B17+B18</f>
        <v>6.8716666666666662E-2</v>
      </c>
      <c r="C19" s="19">
        <f t="shared" ca="1" si="3"/>
        <v>6.8716666666666662E-2</v>
      </c>
      <c r="D19" s="19">
        <f t="shared" ca="1" si="3"/>
        <v>6.8716666666666662E-2</v>
      </c>
      <c r="E19" s="19">
        <f t="shared" ca="1" si="3"/>
        <v>6.8716666666666662E-2</v>
      </c>
      <c r="F19" s="19">
        <f t="shared" ca="1" si="3"/>
        <v>6.8716666666666662E-2</v>
      </c>
      <c r="G19" s="19">
        <f t="shared" ca="1" si="3"/>
        <v>6.8716666666666662E-2</v>
      </c>
      <c r="H19" s="19">
        <f t="shared" ca="1" si="3"/>
        <v>6.8716666666666662E-2</v>
      </c>
      <c r="I19" s="19">
        <f t="shared" ca="1" si="3"/>
        <v>6.8716666666666662E-2</v>
      </c>
      <c r="J19" s="19">
        <f t="shared" ca="1" si="3"/>
        <v>6.8716666666666662E-2</v>
      </c>
      <c r="K19" s="19">
        <f t="shared" ca="1" si="3"/>
        <v>6.8716666666666662E-2</v>
      </c>
      <c r="L19" s="19">
        <f t="shared" ca="1" si="3"/>
        <v>6.8716666666666662E-2</v>
      </c>
    </row>
    <row r="20" spans="1:12" x14ac:dyDescent="0.4">
      <c r="A20" s="15" t="s">
        <v>385</v>
      </c>
      <c r="B20" s="20"/>
      <c r="C20" s="20">
        <f t="shared" ref="C20:L20" ca="1" si="4">B21*C19</f>
        <v>971.6536666666666</v>
      </c>
      <c r="D20" s="20">
        <f t="shared" ca="1" si="4"/>
        <v>1038.4224677944444</v>
      </c>
      <c r="E20" s="20">
        <f t="shared" ca="1" si="4"/>
        <v>1109.7793983730526</v>
      </c>
      <c r="F20" s="20">
        <f t="shared" ca="1" si="4"/>
        <v>1186.0397393645876</v>
      </c>
      <c r="G20" s="20">
        <f t="shared" ca="1" si="4"/>
        <v>1267.5404367879241</v>
      </c>
      <c r="H20" s="20">
        <f t="shared" ca="1" si="4"/>
        <v>1354.641590469201</v>
      </c>
      <c r="I20" s="20">
        <f t="shared" ca="1" si="4"/>
        <v>1447.7280450942762</v>
      </c>
      <c r="J20" s="20">
        <f t="shared" ca="1" si="4"/>
        <v>1547.2110905930044</v>
      </c>
      <c r="K20" s="20">
        <f t="shared" ca="1" si="4"/>
        <v>1653.5302793682538</v>
      </c>
      <c r="L20" s="20">
        <f t="shared" ca="1" si="4"/>
        <v>1767.1553683988423</v>
      </c>
    </row>
    <row r="21" spans="1:12" x14ac:dyDescent="0.4">
      <c r="A21" s="15" t="s">
        <v>383</v>
      </c>
      <c r="B21" s="20">
        <f ca="1">$F$8</f>
        <v>14140</v>
      </c>
      <c r="C21" s="20">
        <f t="shared" ref="C21:L21" ca="1" si="5">B21+C20</f>
        <v>15111.653666666667</v>
      </c>
      <c r="D21" s="20">
        <f t="shared" ca="1" si="5"/>
        <v>16150.076134461111</v>
      </c>
      <c r="E21" s="20">
        <f t="shared" ca="1" si="5"/>
        <v>17259.855532834164</v>
      </c>
      <c r="F21" s="20">
        <f t="shared" ca="1" si="5"/>
        <v>18445.895272198752</v>
      </c>
      <c r="G21" s="20">
        <f t="shared" ca="1" si="5"/>
        <v>19713.435708986675</v>
      </c>
      <c r="H21" s="20">
        <f t="shared" ca="1" si="5"/>
        <v>21068.077299455876</v>
      </c>
      <c r="I21" s="20">
        <f t="shared" ca="1" si="5"/>
        <v>22515.80534455015</v>
      </c>
      <c r="J21" s="20">
        <f t="shared" ca="1" si="5"/>
        <v>24063.016435143156</v>
      </c>
      <c r="K21" s="20">
        <f t="shared" ca="1" si="5"/>
        <v>25716.546714511409</v>
      </c>
      <c r="L21" s="20">
        <f t="shared" ca="1" si="5"/>
        <v>27483.702082910251</v>
      </c>
    </row>
    <row r="22" spans="1:12" x14ac:dyDescent="0.4">
      <c r="A22" s="15" t="s">
        <v>398</v>
      </c>
      <c r="B22" s="20"/>
      <c r="C22" s="20">
        <f t="shared" ref="C22:L22" ca="1" si="6">C20-B21*C17</f>
        <v>-479.1103333333333</v>
      </c>
      <c r="D22" s="20">
        <f t="shared" ca="1" si="6"/>
        <v>-512.03319840555559</v>
      </c>
      <c r="E22" s="20">
        <f t="shared" ca="1" si="6"/>
        <v>-547.21841302265739</v>
      </c>
      <c r="F22" s="20">
        <f t="shared" ca="1" si="6"/>
        <v>-584.82143830419773</v>
      </c>
      <c r="G22" s="20">
        <f t="shared" ca="1" si="6"/>
        <v>-625.00841813966781</v>
      </c>
      <c r="H22" s="20">
        <f t="shared" ca="1" si="6"/>
        <v>-667.9569132728318</v>
      </c>
      <c r="I22" s="20">
        <f t="shared" ca="1" si="6"/>
        <v>-713.85668582989638</v>
      </c>
      <c r="J22" s="20">
        <f t="shared" ca="1" si="6"/>
        <v>-762.91053775784076</v>
      </c>
      <c r="K22" s="20">
        <f t="shared" ca="1" si="6"/>
        <v>-815.33520687743408</v>
      </c>
      <c r="L22" s="20">
        <f t="shared" ca="1" si="6"/>
        <v>-871.36232451002843</v>
      </c>
    </row>
    <row r="23" spans="1:12" x14ac:dyDescent="0.4">
      <c r="A23" s="15" t="s">
        <v>399</v>
      </c>
      <c r="B23" s="62">
        <f ca="1">NPV($B$3,C22:L22)</f>
        <v>-3791.0723492526254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10348.927650747375</v>
      </c>
      <c r="C25" s="63">
        <f ca="1">B25/(1+$B$3)^($H$8/365)</f>
        <v>10570.030255657315</v>
      </c>
    </row>
    <row r="26" spans="1:12" x14ac:dyDescent="0.4">
      <c r="A26" s="15" t="s">
        <v>363</v>
      </c>
      <c r="B26" s="23">
        <f ca="1">B25*100000000/($B$4-$B$5)</f>
        <v>24666.08645085754</v>
      </c>
      <c r="C26" s="23">
        <f ca="1">B26/(1+$B$3)^($H$8/365)</f>
        <v>25193.072062436775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-3.3883333333333335E-2</v>
      </c>
      <c r="C31" s="19">
        <f t="shared" ref="C31:L31" ca="1" si="9">IF(YEAR(C16)&gt;$J$7,0,B31*$B$28)</f>
        <v>-3.0495000000000001E-2</v>
      </c>
      <c r="D31" s="19">
        <f t="shared" ca="1" si="9"/>
        <v>-2.7445500000000001E-2</v>
      </c>
      <c r="E31" s="19">
        <f t="shared" ca="1" si="9"/>
        <v>-2.4700950000000003E-2</v>
      </c>
      <c r="F31" s="19">
        <f t="shared" ca="1" si="9"/>
        <v>-2.2230855000000004E-2</v>
      </c>
      <c r="G31" s="19">
        <f t="shared" ca="1" si="9"/>
        <v>-2.0007769500000005E-2</v>
      </c>
      <c r="H31" s="19">
        <f t="shared" ca="1" si="9"/>
        <v>-1.8006992550000003E-2</v>
      </c>
      <c r="I31" s="19">
        <f t="shared" ca="1" si="9"/>
        <v>-1.6206293295000004E-2</v>
      </c>
      <c r="J31" s="19">
        <f t="shared" ca="1" si="9"/>
        <v>-1.4585663965500003E-2</v>
      </c>
      <c r="K31" s="19">
        <f t="shared" ca="1" si="9"/>
        <v>-1.3127097568950002E-2</v>
      </c>
      <c r="L31" s="19">
        <f t="shared" ca="1" si="9"/>
        <v>-1.1814387812055002E-2</v>
      </c>
    </row>
    <row r="32" spans="1:12" x14ac:dyDescent="0.4">
      <c r="A32" s="15" t="s">
        <v>249</v>
      </c>
      <c r="B32" s="19">
        <f t="shared" ref="B32:L32" ca="1" si="10">B30+B31</f>
        <v>6.8716666666666662E-2</v>
      </c>
      <c r="C32" s="19">
        <f t="shared" ca="1" si="10"/>
        <v>7.2105000000000002E-2</v>
      </c>
      <c r="D32" s="19">
        <f t="shared" ca="1" si="10"/>
        <v>7.5154499999999999E-2</v>
      </c>
      <c r="E32" s="19">
        <f t="shared" ca="1" si="10"/>
        <v>7.7899049999999997E-2</v>
      </c>
      <c r="F32" s="19">
        <f t="shared" ca="1" si="10"/>
        <v>8.0369144999999989E-2</v>
      </c>
      <c r="G32" s="19">
        <f t="shared" ca="1" si="10"/>
        <v>8.2592230499999988E-2</v>
      </c>
      <c r="H32" s="19">
        <f t="shared" ca="1" si="10"/>
        <v>8.4593007449999993E-2</v>
      </c>
      <c r="I32" s="19">
        <f t="shared" ca="1" si="10"/>
        <v>8.639370670499999E-2</v>
      </c>
      <c r="J32" s="19">
        <f t="shared" ca="1" si="10"/>
        <v>8.8014336034499999E-2</v>
      </c>
      <c r="K32" s="19">
        <f t="shared" ca="1" si="10"/>
        <v>8.9472902431049994E-2</v>
      </c>
      <c r="L32" s="19">
        <f t="shared" ca="1" si="10"/>
        <v>9.0785612187944995E-2</v>
      </c>
    </row>
    <row r="33" spans="1:12" x14ac:dyDescent="0.4">
      <c r="A33" s="15" t="s">
        <v>385</v>
      </c>
      <c r="B33" s="20"/>
      <c r="C33" s="20">
        <f t="shared" ref="C33:L33" ca="1" si="11">B34*C32</f>
        <v>1019.5647</v>
      </c>
      <c r="D33" s="20">
        <f t="shared" ca="1" si="11"/>
        <v>1139.3095052461501</v>
      </c>
      <c r="E33" s="20">
        <f t="shared" ca="1" si="11"/>
        <v>1269.6668166581801</v>
      </c>
      <c r="F33" s="20">
        <f t="shared" ca="1" si="11"/>
        <v>1411.968620827877</v>
      </c>
      <c r="G33" s="20">
        <f t="shared" ca="1" si="11"/>
        <v>1567.6426274200107</v>
      </c>
      <c r="H33" s="20">
        <f t="shared" ca="1" si="11"/>
        <v>1738.2299980727207</v>
      </c>
      <c r="I33" s="20">
        <f t="shared" ca="1" si="11"/>
        <v>1925.4031731965376</v>
      </c>
      <c r="J33" s="20">
        <f t="shared" ca="1" si="11"/>
        <v>2130.9842198364845</v>
      </c>
      <c r="K33" s="20">
        <f t="shared" ca="1" si="11"/>
        <v>2356.9640596653576</v>
      </c>
      <c r="L33" s="20">
        <f t="shared" ca="1" si="11"/>
        <v>2605.5228954850322</v>
      </c>
    </row>
    <row r="34" spans="1:12" x14ac:dyDescent="0.4">
      <c r="A34" s="15" t="s">
        <v>383</v>
      </c>
      <c r="B34" s="20">
        <f ca="1">$F$8</f>
        <v>14140</v>
      </c>
      <c r="C34" s="20">
        <f t="shared" ref="C34:L34" ca="1" si="12">B34+C33</f>
        <v>15159.564700000001</v>
      </c>
      <c r="D34" s="20">
        <f t="shared" ca="1" si="12"/>
        <v>16298.874205246151</v>
      </c>
      <c r="E34" s="20">
        <f t="shared" ca="1" si="12"/>
        <v>17568.54102190433</v>
      </c>
      <c r="F34" s="20">
        <f t="shared" ca="1" si="12"/>
        <v>18980.509642732206</v>
      </c>
      <c r="G34" s="20">
        <f t="shared" ca="1" si="12"/>
        <v>20548.152270152215</v>
      </c>
      <c r="H34" s="20">
        <f t="shared" ca="1" si="12"/>
        <v>22286.382268224937</v>
      </c>
      <c r="I34" s="20">
        <f t="shared" ca="1" si="12"/>
        <v>24211.785441421474</v>
      </c>
      <c r="J34" s="20">
        <f t="shared" ca="1" si="12"/>
        <v>26342.76966125796</v>
      </c>
      <c r="K34" s="20">
        <f t="shared" ca="1" si="12"/>
        <v>28699.733720923319</v>
      </c>
      <c r="L34" s="20">
        <f t="shared" ca="1" si="12"/>
        <v>31305.256616408351</v>
      </c>
    </row>
    <row r="35" spans="1:12" x14ac:dyDescent="0.4">
      <c r="A35" s="15" t="s">
        <v>398</v>
      </c>
      <c r="B35" s="20"/>
      <c r="C35" s="20">
        <f t="shared" ref="C35:L35" ca="1" si="13">C33-B34*C30</f>
        <v>-431.19929999999988</v>
      </c>
      <c r="D35" s="20">
        <f t="shared" ca="1" si="13"/>
        <v>-416.06183297384996</v>
      </c>
      <c r="E35" s="20">
        <f t="shared" ca="1" si="13"/>
        <v>-402.59767680007485</v>
      </c>
      <c r="F35" s="20">
        <f t="shared" ca="1" si="13"/>
        <v>-390.56368801950725</v>
      </c>
      <c r="G35" s="20">
        <f t="shared" ca="1" si="13"/>
        <v>-379.75766192431342</v>
      </c>
      <c r="H35" s="20">
        <f t="shared" ca="1" si="13"/>
        <v>-370.01042484489653</v>
      </c>
      <c r="I35" s="20">
        <f t="shared" ca="1" si="13"/>
        <v>-361.17964752334069</v>
      </c>
      <c r="J35" s="20">
        <f t="shared" ca="1" si="13"/>
        <v>-353.14496645335885</v>
      </c>
      <c r="K35" s="20">
        <f t="shared" ca="1" si="13"/>
        <v>-345.80410757970913</v>
      </c>
      <c r="L35" s="20">
        <f t="shared" ca="1" si="13"/>
        <v>-339.06978428170032</v>
      </c>
    </row>
    <row r="36" spans="1:12" x14ac:dyDescent="0.4">
      <c r="A36" s="15" t="s">
        <v>399</v>
      </c>
      <c r="B36" s="62">
        <f ca="1">NPV($B$3,C35:L35)</f>
        <v>-2352.0743837947784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11787.925616205222</v>
      </c>
      <c r="C38" s="63">
        <f ca="1">B38/(1+$B$3)^($H$8/365)</f>
        <v>12039.772101965451</v>
      </c>
    </row>
    <row r="39" spans="1:12" x14ac:dyDescent="0.4">
      <c r="A39" s="15" t="s">
        <v>363</v>
      </c>
      <c r="B39" s="23">
        <f ca="1">B38*100000000/($B$4-$B$5)</f>
        <v>28095.857091492759</v>
      </c>
      <c r="C39" s="23">
        <f ca="1">B39/(1+$B$3)^($H$8/365)</f>
        <v>28696.11901231678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-3.3883333333333335E-2</v>
      </c>
      <c r="C44" s="19">
        <f t="shared" ref="C44:L44" ca="1" si="16">IF(YEAR(C16)&gt;$J$7,0,B44*$B$41)</f>
        <v>-2.7106666666666668E-2</v>
      </c>
      <c r="D44" s="19">
        <f t="shared" ca="1" si="16"/>
        <v>-2.1685333333333334E-2</v>
      </c>
      <c r="E44" s="19">
        <f t="shared" ca="1" si="16"/>
        <v>-1.7348266666666667E-2</v>
      </c>
      <c r="F44" s="19">
        <f t="shared" ca="1" si="16"/>
        <v>-1.3878613333333335E-2</v>
      </c>
      <c r="G44" s="19">
        <f t="shared" ca="1" si="16"/>
        <v>-1.1102890666666669E-2</v>
      </c>
      <c r="H44" s="19">
        <f t="shared" ca="1" si="16"/>
        <v>-8.8823125333333357E-3</v>
      </c>
      <c r="I44" s="19">
        <f t="shared" ca="1" si="16"/>
        <v>-7.1058500266666692E-3</v>
      </c>
      <c r="J44" s="19">
        <f t="shared" ca="1" si="16"/>
        <v>-5.6846800213333354E-3</v>
      </c>
      <c r="K44" s="19">
        <f t="shared" ca="1" si="16"/>
        <v>-4.5477440170666687E-3</v>
      </c>
      <c r="L44" s="19">
        <f t="shared" ca="1" si="16"/>
        <v>-3.6381952136533349E-3</v>
      </c>
    </row>
    <row r="45" spans="1:12" x14ac:dyDescent="0.4">
      <c r="A45" s="15" t="s">
        <v>249</v>
      </c>
      <c r="B45" s="19">
        <f t="shared" ref="B45:L45" ca="1" si="17">B43+B44</f>
        <v>6.8716666666666662E-2</v>
      </c>
      <c r="C45" s="19">
        <f t="shared" ca="1" si="17"/>
        <v>7.5493333333333329E-2</v>
      </c>
      <c r="D45" s="19">
        <f t="shared" ca="1" si="17"/>
        <v>8.0914666666666663E-2</v>
      </c>
      <c r="E45" s="19">
        <f t="shared" ca="1" si="17"/>
        <v>8.5251733333333329E-2</v>
      </c>
      <c r="F45" s="19">
        <f t="shared" ca="1" si="17"/>
        <v>8.8721386666666666E-2</v>
      </c>
      <c r="G45" s="19">
        <f t="shared" ca="1" si="17"/>
        <v>9.1497109333333326E-2</v>
      </c>
      <c r="H45" s="19">
        <f t="shared" ca="1" si="17"/>
        <v>9.3717687466666658E-2</v>
      </c>
      <c r="I45" s="19">
        <f t="shared" ca="1" si="17"/>
        <v>9.5494149973333331E-2</v>
      </c>
      <c r="J45" s="19">
        <f t="shared" ca="1" si="17"/>
        <v>9.6915319978666661E-2</v>
      </c>
      <c r="K45" s="19">
        <f t="shared" ca="1" si="17"/>
        <v>9.8052255982933323E-2</v>
      </c>
      <c r="L45" s="19">
        <f t="shared" ca="1" si="17"/>
        <v>9.8961804786346669E-2</v>
      </c>
    </row>
    <row r="46" spans="1:12" x14ac:dyDescent="0.4">
      <c r="A46" s="15" t="s">
        <v>385</v>
      </c>
      <c r="B46" s="20"/>
      <c r="C46" s="20">
        <f t="shared" ref="C46:L46" ca="1" si="18">B47*C45</f>
        <v>1067.4757333333332</v>
      </c>
      <c r="D46" s="20">
        <f t="shared" ca="1" si="18"/>
        <v>1230.5078298040887</v>
      </c>
      <c r="E46" s="20">
        <f t="shared" ca="1" si="18"/>
        <v>1401.366591262308</v>
      </c>
      <c r="F46" s="20">
        <f t="shared" ca="1" si="18"/>
        <v>1582.7318829305582</v>
      </c>
      <c r="G46" s="20">
        <f t="shared" ca="1" si="18"/>
        <v>1777.0643636505788</v>
      </c>
      <c r="H46" s="20">
        <f t="shared" ca="1" si="18"/>
        <v>1986.734976967236</v>
      </c>
      <c r="I46" s="20">
        <f t="shared" ca="1" si="18"/>
        <v>2214.1160335696927</v>
      </c>
      <c r="J46" s="20">
        <f t="shared" ca="1" si="18"/>
        <v>2461.6488765945519</v>
      </c>
      <c r="K46" s="20">
        <f t="shared" ca="1" si="18"/>
        <v>2731.8972739479354</v>
      </c>
      <c r="L46" s="20">
        <f t="shared" ca="1" si="18"/>
        <v>3027.5922857112023</v>
      </c>
    </row>
    <row r="47" spans="1:12" x14ac:dyDescent="0.4">
      <c r="A47" s="15" t="s">
        <v>383</v>
      </c>
      <c r="B47" s="20">
        <f ca="1">$F$8</f>
        <v>14140</v>
      </c>
      <c r="C47" s="20">
        <f t="shared" ref="C47:L47" ca="1" si="19">B47+C46</f>
        <v>15207.475733333333</v>
      </c>
      <c r="D47" s="20">
        <f t="shared" ca="1" si="19"/>
        <v>16437.983563137423</v>
      </c>
      <c r="E47" s="20">
        <f t="shared" ca="1" si="19"/>
        <v>17839.35015439973</v>
      </c>
      <c r="F47" s="20">
        <f t="shared" ca="1" si="19"/>
        <v>19422.082037330289</v>
      </c>
      <c r="G47" s="20">
        <f t="shared" ca="1" si="19"/>
        <v>21199.146400980866</v>
      </c>
      <c r="H47" s="20">
        <f t="shared" ca="1" si="19"/>
        <v>23185.881377948102</v>
      </c>
      <c r="I47" s="20">
        <f t="shared" ca="1" si="19"/>
        <v>25399.997411517794</v>
      </c>
      <c r="J47" s="20">
        <f t="shared" ca="1" si="19"/>
        <v>27861.646288112344</v>
      </c>
      <c r="K47" s="20">
        <f t="shared" ca="1" si="19"/>
        <v>30593.54356206028</v>
      </c>
      <c r="L47" s="20">
        <f t="shared" ca="1" si="19"/>
        <v>33621.135847771482</v>
      </c>
    </row>
    <row r="48" spans="1:12" x14ac:dyDescent="0.4">
      <c r="A48" s="15" t="s">
        <v>398</v>
      </c>
      <c r="B48" s="20"/>
      <c r="C48" s="20">
        <f t="shared" ref="C48:L48" ca="1" si="20">C46-B47*C43</f>
        <v>-383.28826666666669</v>
      </c>
      <c r="D48" s="20">
        <f t="shared" ca="1" si="20"/>
        <v>-329.77918043591126</v>
      </c>
      <c r="E48" s="20">
        <f t="shared" ca="1" si="20"/>
        <v>-285.1705223155916</v>
      </c>
      <c r="F48" s="20">
        <f t="shared" ca="1" si="20"/>
        <v>-247.585442910854</v>
      </c>
      <c r="G48" s="20">
        <f t="shared" ca="1" si="20"/>
        <v>-215.64125337950873</v>
      </c>
      <c r="H48" s="20">
        <f t="shared" ca="1" si="20"/>
        <v>-188.29744377340103</v>
      </c>
      <c r="I48" s="20">
        <f t="shared" ca="1" si="20"/>
        <v>-164.75539580778241</v>
      </c>
      <c r="J48" s="20">
        <f t="shared" ca="1" si="20"/>
        <v>-144.39085782717348</v>
      </c>
      <c r="K48" s="20">
        <f t="shared" ca="1" si="20"/>
        <v>-126.70763521239087</v>
      </c>
      <c r="L48" s="20">
        <f t="shared" ca="1" si="20"/>
        <v>-111.30528375618223</v>
      </c>
    </row>
    <row r="49" spans="1:19" x14ac:dyDescent="0.4">
      <c r="A49" s="15" t="s">
        <v>399</v>
      </c>
      <c r="B49" s="62">
        <f ca="1">NPV($B$3,C48:L48)</f>
        <v>-1480.0351461060372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12659.964853893962</v>
      </c>
      <c r="C51" s="63">
        <f ca="1">B51/(1+$B$3)^($H$8/365)</f>
        <v>12930.44226969289</v>
      </c>
    </row>
    <row r="52" spans="1:19" x14ac:dyDescent="0.4">
      <c r="A52" s="15" t="s">
        <v>363</v>
      </c>
      <c r="B52" s="23">
        <f ca="1">B51*100000000/($B$4-$B$5)</f>
        <v>30174.313522079265</v>
      </c>
      <c r="C52" s="23">
        <f ca="1">B52/(1+$B$3)^($H$8/365)</f>
        <v>30818.98121580105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479</v>
      </c>
      <c r="C56" s="76">
        <f t="shared" si="22"/>
        <v>5332</v>
      </c>
      <c r="D56" s="76">
        <f t="shared" si="22"/>
        <v>664</v>
      </c>
      <c r="E56" s="76">
        <f t="shared" si="22"/>
        <v>763</v>
      </c>
      <c r="F56" s="76">
        <f t="shared" si="22"/>
        <v>713</v>
      </c>
      <c r="G56" s="76">
        <f t="shared" si="22"/>
        <v>0</v>
      </c>
      <c r="H56" s="76">
        <f t="shared" si="22"/>
        <v>0</v>
      </c>
      <c r="I56" s="76" t="str">
        <f t="shared" ca="1" si="22"/>
        <v/>
      </c>
      <c r="J56" s="179">
        <f t="shared" ref="J56:S56" ca="1" si="24">C20</f>
        <v>971.6536666666666</v>
      </c>
      <c r="K56" s="179">
        <f t="shared" ca="1" si="24"/>
        <v>1038.4224677944444</v>
      </c>
      <c r="L56" s="179">
        <f t="shared" ca="1" si="24"/>
        <v>1109.7793983730526</v>
      </c>
      <c r="M56" s="179">
        <f t="shared" ca="1" si="24"/>
        <v>1186.0397393645876</v>
      </c>
      <c r="N56" s="179">
        <f t="shared" ca="1" si="24"/>
        <v>1267.5404367879241</v>
      </c>
      <c r="O56" s="179">
        <f t="shared" ca="1" si="24"/>
        <v>1354.641590469201</v>
      </c>
      <c r="P56" s="179">
        <f t="shared" ca="1" si="24"/>
        <v>1447.7280450942762</v>
      </c>
      <c r="Q56" s="179">
        <f t="shared" ca="1" si="24"/>
        <v>1547.2110905930044</v>
      </c>
      <c r="R56" s="179">
        <f t="shared" ca="1" si="24"/>
        <v>1653.5302793682538</v>
      </c>
      <c r="S56" s="179">
        <f t="shared" ca="1" si="24"/>
        <v>1767.1553683988423</v>
      </c>
    </row>
    <row r="57" spans="1:19" x14ac:dyDescent="0.4">
      <c r="A57" s="1" t="s">
        <v>403</v>
      </c>
      <c r="B57" s="76">
        <f t="shared" ref="B57:I57" si="25">E5</f>
        <v>479</v>
      </c>
      <c r="C57" s="76">
        <f t="shared" si="25"/>
        <v>5332</v>
      </c>
      <c r="D57" s="76">
        <f t="shared" si="25"/>
        <v>664</v>
      </c>
      <c r="E57" s="76">
        <f t="shared" si="25"/>
        <v>763</v>
      </c>
      <c r="F57" s="76">
        <f t="shared" si="25"/>
        <v>713</v>
      </c>
      <c r="G57" s="76">
        <f t="shared" si="25"/>
        <v>0</v>
      </c>
      <c r="H57" s="76">
        <f t="shared" si="25"/>
        <v>0</v>
      </c>
      <c r="I57" s="76" t="str">
        <f t="shared" ca="1" si="25"/>
        <v/>
      </c>
      <c r="J57" s="179">
        <f t="shared" ref="J57:S57" ca="1" si="26">C33</f>
        <v>1019.5647</v>
      </c>
      <c r="K57" s="179">
        <f t="shared" ca="1" si="26"/>
        <v>1139.3095052461501</v>
      </c>
      <c r="L57" s="179">
        <f t="shared" ca="1" si="26"/>
        <v>1269.6668166581801</v>
      </c>
      <c r="M57" s="179">
        <f t="shared" ca="1" si="26"/>
        <v>1411.968620827877</v>
      </c>
      <c r="N57" s="179">
        <f t="shared" ca="1" si="26"/>
        <v>1567.6426274200107</v>
      </c>
      <c r="O57" s="179">
        <f t="shared" ca="1" si="26"/>
        <v>1738.2299980727207</v>
      </c>
      <c r="P57" s="179">
        <f t="shared" ca="1" si="26"/>
        <v>1925.4031731965376</v>
      </c>
      <c r="Q57" s="179">
        <f t="shared" ca="1" si="26"/>
        <v>2130.9842198364845</v>
      </c>
      <c r="R57" s="179">
        <f t="shared" ca="1" si="26"/>
        <v>2356.9640596653576</v>
      </c>
      <c r="S57" s="179">
        <f t="shared" ca="1" si="26"/>
        <v>2605.5228954850322</v>
      </c>
    </row>
    <row r="58" spans="1:19" x14ac:dyDescent="0.4">
      <c r="A58" s="1" t="s">
        <v>404</v>
      </c>
      <c r="B58" s="76">
        <f t="shared" ref="B58:I58" si="27">E5</f>
        <v>479</v>
      </c>
      <c r="C58" s="76">
        <f t="shared" si="27"/>
        <v>5332</v>
      </c>
      <c r="D58" s="76">
        <f t="shared" si="27"/>
        <v>664</v>
      </c>
      <c r="E58" s="76">
        <f t="shared" si="27"/>
        <v>763</v>
      </c>
      <c r="F58" s="76">
        <f t="shared" si="27"/>
        <v>713</v>
      </c>
      <c r="G58" s="76">
        <f t="shared" si="27"/>
        <v>0</v>
      </c>
      <c r="H58" s="76">
        <f t="shared" si="27"/>
        <v>0</v>
      </c>
      <c r="I58" s="76" t="str">
        <f t="shared" ca="1" si="27"/>
        <v/>
      </c>
      <c r="J58" s="179">
        <f t="shared" ref="J58:S58" ca="1" si="28">C46</f>
        <v>1067.4757333333332</v>
      </c>
      <c r="K58" s="179">
        <f t="shared" ca="1" si="28"/>
        <v>1230.5078298040887</v>
      </c>
      <c r="L58" s="179">
        <f t="shared" ca="1" si="28"/>
        <v>1401.366591262308</v>
      </c>
      <c r="M58" s="179">
        <f t="shared" ca="1" si="28"/>
        <v>1582.7318829305582</v>
      </c>
      <c r="N58" s="179">
        <f t="shared" ca="1" si="28"/>
        <v>1777.0643636505788</v>
      </c>
      <c r="O58" s="179">
        <f t="shared" ca="1" si="28"/>
        <v>1986.734976967236</v>
      </c>
      <c r="P58" s="179">
        <f t="shared" ca="1" si="28"/>
        <v>2214.1160335696927</v>
      </c>
      <c r="Q58" s="179">
        <f t="shared" ca="1" si="28"/>
        <v>2461.6488765945519</v>
      </c>
      <c r="R58" s="179">
        <f t="shared" ca="1" si="28"/>
        <v>2731.8972739479354</v>
      </c>
      <c r="S58" s="179">
        <f t="shared" ca="1" si="28"/>
        <v>3027.5922857112023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479</v>
      </c>
      <c r="C62" s="76">
        <f t="shared" si="30"/>
        <v>5332</v>
      </c>
      <c r="D62" s="76">
        <f t="shared" si="30"/>
        <v>664</v>
      </c>
      <c r="E62" s="76">
        <f t="shared" si="30"/>
        <v>763</v>
      </c>
      <c r="F62" s="76">
        <f t="shared" si="30"/>
        <v>713</v>
      </c>
      <c r="G62" s="76">
        <f t="shared" ca="1" si="30"/>
        <v>971.6536666666666</v>
      </c>
      <c r="H62" s="76">
        <f t="shared" ca="1" si="30"/>
        <v>1038.4224677944444</v>
      </c>
      <c r="I62" s="76">
        <f t="shared" ca="1" si="30"/>
        <v>1109.7793983730526</v>
      </c>
      <c r="J62" s="76">
        <f t="shared" ca="1" si="30"/>
        <v>1186.0397393645876</v>
      </c>
      <c r="K62" s="76">
        <f t="shared" ca="1" si="30"/>
        <v>1267.5404367879241</v>
      </c>
      <c r="L62" s="76">
        <f t="shared" ca="1" si="30"/>
        <v>1354.641590469201</v>
      </c>
      <c r="M62" s="76">
        <f t="shared" ca="1" si="30"/>
        <v>1447.7280450942762</v>
      </c>
      <c r="N62" s="76">
        <f t="shared" ca="1" si="30"/>
        <v>1547.2110905930044</v>
      </c>
      <c r="O62" s="76">
        <f t="shared" ca="1" si="30"/>
        <v>1653.5302793682538</v>
      </c>
      <c r="P62" s="76">
        <f t="shared" ca="1" si="30"/>
        <v>1767.1553683988423</v>
      </c>
    </row>
    <row r="63" spans="1:19" x14ac:dyDescent="0.4">
      <c r="A63" s="1" t="s">
        <v>403</v>
      </c>
      <c r="B63" s="76">
        <f t="shared" ref="B63:P63" si="31">HLOOKUP(B$60,$B$54:$S$58,4,FALSE)</f>
        <v>479</v>
      </c>
      <c r="C63" s="76">
        <f t="shared" si="31"/>
        <v>5332</v>
      </c>
      <c r="D63" s="76">
        <f t="shared" si="31"/>
        <v>664</v>
      </c>
      <c r="E63" s="76">
        <f t="shared" si="31"/>
        <v>763</v>
      </c>
      <c r="F63" s="76">
        <f t="shared" si="31"/>
        <v>713</v>
      </c>
      <c r="G63" s="76">
        <f t="shared" ca="1" si="31"/>
        <v>1019.5647</v>
      </c>
      <c r="H63" s="76">
        <f t="shared" ca="1" si="31"/>
        <v>1139.3095052461501</v>
      </c>
      <c r="I63" s="76">
        <f t="shared" ca="1" si="31"/>
        <v>1269.6668166581801</v>
      </c>
      <c r="J63" s="76">
        <f t="shared" ca="1" si="31"/>
        <v>1411.968620827877</v>
      </c>
      <c r="K63" s="76">
        <f t="shared" ca="1" si="31"/>
        <v>1567.6426274200107</v>
      </c>
      <c r="L63" s="76">
        <f t="shared" ca="1" si="31"/>
        <v>1738.2299980727207</v>
      </c>
      <c r="M63" s="76">
        <f t="shared" ca="1" si="31"/>
        <v>1925.4031731965376</v>
      </c>
      <c r="N63" s="76">
        <f t="shared" ca="1" si="31"/>
        <v>2130.9842198364845</v>
      </c>
      <c r="O63" s="76">
        <f t="shared" ca="1" si="31"/>
        <v>2356.9640596653576</v>
      </c>
      <c r="P63" s="76">
        <f t="shared" ca="1" si="31"/>
        <v>2605.5228954850322</v>
      </c>
    </row>
    <row r="64" spans="1:19" x14ac:dyDescent="0.4">
      <c r="A64" s="1" t="s">
        <v>404</v>
      </c>
      <c r="B64" s="76">
        <f t="shared" ref="B64:P64" si="32">HLOOKUP(B$60,$B$54:$S$58,5,FALSE)</f>
        <v>479</v>
      </c>
      <c r="C64" s="76">
        <f t="shared" si="32"/>
        <v>5332</v>
      </c>
      <c r="D64" s="76">
        <f t="shared" si="32"/>
        <v>664</v>
      </c>
      <c r="E64" s="76">
        <f t="shared" si="32"/>
        <v>763</v>
      </c>
      <c r="F64" s="76">
        <f t="shared" si="32"/>
        <v>713</v>
      </c>
      <c r="G64" s="76">
        <f t="shared" ca="1" si="32"/>
        <v>1067.4757333333332</v>
      </c>
      <c r="H64" s="76">
        <f t="shared" ca="1" si="32"/>
        <v>1230.5078298040887</v>
      </c>
      <c r="I64" s="76">
        <f t="shared" ca="1" si="32"/>
        <v>1401.366591262308</v>
      </c>
      <c r="J64" s="76">
        <f t="shared" ca="1" si="32"/>
        <v>1582.7318829305582</v>
      </c>
      <c r="K64" s="76">
        <f t="shared" ca="1" si="32"/>
        <v>1777.0643636505788</v>
      </c>
      <c r="L64" s="76">
        <f t="shared" ca="1" si="32"/>
        <v>1986.734976967236</v>
      </c>
      <c r="M64" s="76">
        <f t="shared" ca="1" si="32"/>
        <v>2214.1160335696927</v>
      </c>
      <c r="N64" s="76">
        <f t="shared" ca="1" si="32"/>
        <v>2461.6488765945519</v>
      </c>
      <c r="O64" s="76">
        <f t="shared" ca="1" si="32"/>
        <v>2731.8972739479354</v>
      </c>
      <c r="P64" s="76">
        <f t="shared" ca="1" si="32"/>
        <v>3027.5922857112023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2026-03-20T06:32:20Z</dcterms:modified>
</cp:coreProperties>
</file>