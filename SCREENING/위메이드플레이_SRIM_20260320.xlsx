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CD2475A0-8147-4536-9CF3-9A6A16848C4E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B105" i="6"/>
  <c r="B101" i="6"/>
  <c r="C101" i="6" s="1"/>
  <c r="B88" i="6"/>
  <c r="C88" i="6" s="1"/>
  <c r="A79" i="6"/>
  <c r="H78" i="6"/>
  <c r="E77" i="6"/>
  <c r="D77" i="6"/>
  <c r="C77" i="6"/>
  <c r="B77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E71" i="6"/>
  <c r="F71" i="6" s="1"/>
  <c r="D70" i="6"/>
  <c r="C70" i="6" s="1"/>
  <c r="B70" i="6" s="1"/>
  <c r="B66" i="6"/>
  <c r="B55" i="6"/>
  <c r="B51" i="6"/>
  <c r="B43" i="6"/>
  <c r="B39" i="6"/>
  <c r="C39" i="6" s="1"/>
  <c r="D39" i="6" s="1"/>
  <c r="B31" i="6"/>
  <c r="B27" i="6"/>
  <c r="B14" i="6"/>
  <c r="G13" i="6"/>
  <c r="B16" i="6" s="1"/>
  <c r="C16" i="6" s="1"/>
  <c r="B8" i="6"/>
  <c r="B11" i="6" s="1"/>
  <c r="C14" i="6" s="1"/>
  <c r="I56" i="5"/>
  <c r="H56" i="5"/>
  <c r="H55" i="5"/>
  <c r="H54" i="5" s="1"/>
  <c r="E55" i="5"/>
  <c r="E61" i="5" s="1"/>
  <c r="D55" i="5"/>
  <c r="D61" i="5" s="1"/>
  <c r="C55" i="5"/>
  <c r="C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8" i="5" s="1"/>
  <c r="K5" i="5"/>
  <c r="H57" i="5" s="1"/>
  <c r="J5" i="5"/>
  <c r="G56" i="5" s="1"/>
  <c r="I5" i="5"/>
  <c r="F58" i="5" s="1"/>
  <c r="F64" i="5" s="1"/>
  <c r="H5" i="5"/>
  <c r="G5" i="5"/>
  <c r="D56" i="5" s="1"/>
  <c r="D62" i="5" s="1"/>
  <c r="F5" i="5"/>
  <c r="E5" i="5"/>
  <c r="L4" i="5"/>
  <c r="I55" i="5" s="1"/>
  <c r="I54" i="5" s="1"/>
  <c r="K4" i="5"/>
  <c r="J4" i="5"/>
  <c r="G55" i="5" s="1"/>
  <c r="G54" i="5" s="1"/>
  <c r="I4" i="5"/>
  <c r="F55" i="5" s="1"/>
  <c r="F61" i="5" s="1"/>
  <c r="H4" i="5"/>
  <c r="G4" i="5"/>
  <c r="F4" i="5"/>
  <c r="E4" i="5"/>
  <c r="B55" i="5" s="1"/>
  <c r="B61" i="5" s="1"/>
  <c r="L3" i="5"/>
  <c r="K3" i="5"/>
  <c r="J3" i="5"/>
  <c r="I3" i="5"/>
  <c r="H3" i="5"/>
  <c r="G3" i="5"/>
  <c r="F3" i="5"/>
  <c r="E3" i="5"/>
  <c r="B3" i="5"/>
  <c r="B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D34" i="3"/>
  <c r="D39" i="3" s="1"/>
  <c r="C34" i="3"/>
  <c r="C39" i="3" s="1"/>
  <c r="E33" i="3"/>
  <c r="D33" i="3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D21" i="3"/>
  <c r="C21" i="3"/>
  <c r="C33" i="3" s="1"/>
  <c r="I20" i="3"/>
  <c r="E20" i="3" s="1"/>
  <c r="C17" i="3"/>
  <c r="AF10" i="3"/>
  <c r="B116" i="2"/>
  <c r="I16" i="4"/>
  <c r="E61" i="4"/>
  <c r="H57" i="4"/>
  <c r="A55" i="4"/>
  <c r="B51" i="4"/>
  <c r="I37" i="4"/>
  <c r="D61" i="4"/>
  <c r="G57" i="4"/>
  <c r="I54" i="4"/>
  <c r="A51" i="4"/>
  <c r="H37" i="4"/>
  <c r="G60" i="4"/>
  <c r="E57" i="4"/>
  <c r="F54" i="4"/>
  <c r="G37" i="4"/>
  <c r="F60" i="4"/>
  <c r="D57" i="4"/>
  <c r="H53" i="4"/>
  <c r="F50" i="4"/>
  <c r="A37" i="4"/>
  <c r="I20" i="4"/>
  <c r="E60" i="4"/>
  <c r="C57" i="4"/>
  <c r="F53" i="4"/>
  <c r="D50" i="4"/>
  <c r="I33" i="4"/>
  <c r="D60" i="4"/>
  <c r="B57" i="4"/>
  <c r="E53" i="4"/>
  <c r="C50" i="4"/>
  <c r="H33" i="4"/>
  <c r="B60" i="4"/>
  <c r="A57" i="4"/>
  <c r="D53" i="4"/>
  <c r="B50" i="4"/>
  <c r="G33" i="4"/>
  <c r="B71" i="4"/>
  <c r="E59" i="4"/>
  <c r="A43" i="4"/>
  <c r="I70" i="4"/>
  <c r="C59" i="4"/>
  <c r="D39" i="4"/>
  <c r="H70" i="4"/>
  <c r="B59" i="4"/>
  <c r="C39" i="4"/>
  <c r="G70" i="4"/>
  <c r="I56" i="4"/>
  <c r="A39" i="4"/>
  <c r="A56" i="4"/>
  <c r="I38" i="4"/>
  <c r="I17" i="4"/>
  <c r="G55" i="4"/>
  <c r="I32" i="4"/>
  <c r="F76" i="4"/>
  <c r="H62" i="4"/>
  <c r="F55" i="4"/>
  <c r="H32" i="4"/>
  <c r="D76" i="4"/>
  <c r="E62" i="4"/>
  <c r="C53" i="4"/>
  <c r="A30" i="4"/>
  <c r="I7" i="4"/>
  <c r="B74" i="4"/>
  <c r="D62" i="4"/>
  <c r="B53" i="4"/>
  <c r="I29" i="4"/>
  <c r="A74" i="4"/>
  <c r="H52" i="4"/>
  <c r="A62" i="4"/>
  <c r="H73" i="4"/>
  <c r="F52" i="4"/>
  <c r="G73" i="4"/>
  <c r="G59" i="4"/>
  <c r="I19" i="4"/>
  <c r="F73" i="4"/>
  <c r="A44" i="4"/>
  <c r="B4" i="4"/>
  <c r="A70" i="4"/>
  <c r="H69" i="4"/>
  <c r="A33" i="4"/>
  <c r="D84" i="4"/>
  <c r="I8" i="4"/>
  <c r="E76" i="4"/>
  <c r="F62" i="4"/>
  <c r="E55" i="4"/>
  <c r="G32" i="4"/>
  <c r="I6" i="4"/>
  <c r="C62" i="4"/>
  <c r="I73" i="4"/>
  <c r="G52" i="4"/>
  <c r="I21" i="4"/>
  <c r="H59" i="4"/>
  <c r="E52" i="4"/>
  <c r="F59" i="4"/>
  <c r="I18" i="4"/>
  <c r="I5" i="4"/>
  <c r="B15" i="6" l="1"/>
  <c r="C15" i="6" s="1"/>
  <c r="D57" i="5"/>
  <c r="D63" i="5" s="1"/>
  <c r="I57" i="5"/>
  <c r="B40" i="6"/>
  <c r="C40" i="6" s="1"/>
  <c r="D40" i="6" s="1"/>
  <c r="D58" i="5"/>
  <c r="D64" i="5" s="1"/>
  <c r="B41" i="6"/>
  <c r="H58" i="5"/>
  <c r="L71" i="6"/>
  <c r="L70" i="6" s="1"/>
  <c r="C78" i="6" s="1"/>
  <c r="B30" i="5"/>
  <c r="E39" i="3"/>
  <c r="G58" i="5"/>
  <c r="G76" i="6"/>
  <c r="B5" i="4"/>
  <c r="C5" i="3" s="1"/>
  <c r="C27" i="3" s="1"/>
  <c r="H35" i="3" s="1"/>
  <c r="B18" i="4"/>
  <c r="B21" i="4"/>
  <c r="B6" i="4"/>
  <c r="C6" i="3" s="1"/>
  <c r="B8" i="4"/>
  <c r="E41" i="3"/>
  <c r="C4" i="3"/>
  <c r="B19" i="4"/>
  <c r="C7" i="4"/>
  <c r="E5" i="3" s="1"/>
  <c r="B7" i="4"/>
  <c r="B17" i="4"/>
  <c r="B36" i="3"/>
  <c r="D36" i="3"/>
  <c r="E36" i="3"/>
  <c r="K60" i="4"/>
  <c r="B20" i="4"/>
  <c r="M4" i="5"/>
  <c r="K50" i="4"/>
  <c r="J21" i="3" s="1"/>
  <c r="H21" i="3"/>
  <c r="B16" i="4"/>
  <c r="C57" i="5"/>
  <c r="C63" i="5" s="1"/>
  <c r="C58" i="5"/>
  <c r="C64" i="5" s="1"/>
  <c r="C56" i="5"/>
  <c r="C62" i="5" s="1"/>
  <c r="E39" i="6"/>
  <c r="E56" i="5"/>
  <c r="E62" i="5" s="1"/>
  <c r="E58" i="5"/>
  <c r="E64" i="5" s="1"/>
  <c r="E57" i="5"/>
  <c r="E63" i="5" s="1"/>
  <c r="H39" i="3"/>
  <c r="D88" i="6"/>
  <c r="C30" i="5"/>
  <c r="B57" i="5"/>
  <c r="B63" i="5" s="1"/>
  <c r="B58" i="5"/>
  <c r="B64" i="5" s="1"/>
  <c r="B56" i="5"/>
  <c r="B62" i="5" s="1"/>
  <c r="K21" i="3"/>
  <c r="D101" i="6"/>
  <c r="D16" i="5"/>
  <c r="J55" i="5"/>
  <c r="F79" i="6"/>
  <c r="B89" i="6"/>
  <c r="B102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F57" i="5"/>
  <c r="F63" i="5" s="1"/>
  <c r="E114" i="6"/>
  <c r="D116" i="6"/>
  <c r="G57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F56" i="5"/>
  <c r="F62" i="5" s="1"/>
  <c r="C27" i="6"/>
  <c r="B28" i="6"/>
  <c r="J54" i="5"/>
  <c r="C43" i="5"/>
  <c r="B17" i="5"/>
  <c r="G76" i="4"/>
  <c r="I72" i="4"/>
  <c r="B70" i="4"/>
  <c r="E68" i="4"/>
  <c r="A53" i="4"/>
  <c r="A61" i="4"/>
  <c r="F39" i="4"/>
  <c r="A41" i="4"/>
  <c r="H60" i="4"/>
  <c r="G38" i="4"/>
  <c r="B73" i="4"/>
  <c r="A75" i="4"/>
  <c r="F70" i="4"/>
  <c r="D71" i="4"/>
  <c r="H71" i="4"/>
  <c r="D51" i="4"/>
  <c r="D59" i="4"/>
  <c r="I34" i="4"/>
  <c r="G35" i="4"/>
  <c r="F58" i="4"/>
  <c r="F51" i="4"/>
  <c r="C76" i="4"/>
  <c r="C73" i="4"/>
  <c r="C68" i="4"/>
  <c r="C74" i="4"/>
  <c r="D75" i="4"/>
  <c r="H39" i="4"/>
  <c r="F57" i="4"/>
  <c r="I24" i="4"/>
  <c r="A27" i="4"/>
  <c r="B56" i="4"/>
  <c r="C55" i="4"/>
  <c r="F71" i="4"/>
  <c r="G72" i="4"/>
  <c r="A36" i="4"/>
  <c r="I55" i="4"/>
  <c r="C61" i="4"/>
  <c r="A40" i="4"/>
  <c r="I53" i="4"/>
  <c r="D58" i="4"/>
  <c r="I69" i="4"/>
  <c r="E70" i="4"/>
  <c r="A32" i="4"/>
  <c r="B54" i="4"/>
  <c r="A59" i="4"/>
  <c r="A35" i="4"/>
  <c r="H51" i="4"/>
  <c r="I61" i="4"/>
  <c r="I66" i="4"/>
  <c r="B68" i="4"/>
  <c r="F68" i="4"/>
  <c r="C69" i="4"/>
  <c r="F61" i="4"/>
  <c r="D52" i="4"/>
  <c r="H56" i="4"/>
  <c r="H58" i="4"/>
  <c r="E39" i="4"/>
  <c r="F69" i="4"/>
  <c r="B76" i="4"/>
  <c r="H74" i="4"/>
  <c r="I71" i="4"/>
  <c r="C72" i="4"/>
  <c r="I59" i="4"/>
  <c r="E50" i="4"/>
  <c r="E54" i="4"/>
  <c r="F56" i="4"/>
  <c r="A34" i="4"/>
  <c r="A73" i="4"/>
  <c r="E74" i="4"/>
  <c r="D70" i="4"/>
  <c r="D68" i="4"/>
  <c r="E75" i="4"/>
  <c r="I75" i="4"/>
  <c r="B58" i="4"/>
  <c r="B39" i="4"/>
  <c r="B52" i="4"/>
  <c r="C54" i="4"/>
  <c r="A38" i="4"/>
  <c r="A76" i="4"/>
  <c r="H72" i="4"/>
  <c r="G74" i="4"/>
  <c r="E71" i="4"/>
  <c r="D56" i="4"/>
  <c r="H34" i="4"/>
  <c r="A42" i="4"/>
  <c r="I60" i="4"/>
  <c r="E51" i="4"/>
  <c r="A71" i="4"/>
  <c r="E72" i="4"/>
  <c r="D74" i="4"/>
  <c r="A72" i="4"/>
  <c r="G54" i="4"/>
  <c r="A29" i="4"/>
  <c r="H35" i="4"/>
  <c r="G58" i="4"/>
  <c r="B55" i="4"/>
  <c r="D69" i="4"/>
  <c r="C70" i="4"/>
  <c r="G75" i="4"/>
  <c r="I52" i="4"/>
  <c r="B62" i="4"/>
  <c r="A28" i="4"/>
  <c r="C56" i="4"/>
  <c r="A58" i="4"/>
  <c r="H29" i="4"/>
  <c r="H76" i="4"/>
  <c r="F75" i="4"/>
  <c r="I74" i="4"/>
  <c r="G61" i="4"/>
  <c r="C51" i="4"/>
  <c r="C60" i="4"/>
  <c r="B61" i="4"/>
  <c r="A54" i="4"/>
  <c r="H61" i="4"/>
  <c r="H38" i="4"/>
  <c r="A13" i="4"/>
  <c r="B75" i="4"/>
  <c r="E73" i="4"/>
  <c r="F72" i="4"/>
  <c r="A60" i="4"/>
  <c r="I57" i="4"/>
  <c r="I58" i="4"/>
  <c r="I51" i="4"/>
  <c r="E69" i="4"/>
  <c r="C52" i="4"/>
  <c r="A12" i="4"/>
  <c r="D73" i="4"/>
  <c r="C71" i="4"/>
  <c r="I76" i="4"/>
  <c r="C58" i="4"/>
  <c r="I35" i="4"/>
  <c r="H55" i="4"/>
  <c r="G56" i="4"/>
  <c r="I39" i="4"/>
  <c r="D55" i="4"/>
  <c r="C84" i="4"/>
  <c r="A11" i="4"/>
  <c r="G71" i="4"/>
  <c r="B69" i="4"/>
  <c r="F74" i="4"/>
  <c r="B72" i="4"/>
  <c r="E56" i="4"/>
  <c r="A31" i="4"/>
  <c r="G53" i="4"/>
  <c r="D54" i="4"/>
  <c r="G34" i="4"/>
  <c r="E58" i="4"/>
  <c r="D86" i="4"/>
  <c r="A68" i="4"/>
  <c r="C75" i="4"/>
  <c r="D72" i="4"/>
  <c r="H75" i="4"/>
  <c r="H54" i="4"/>
  <c r="G62" i="4"/>
  <c r="G51" i="4"/>
  <c r="A52" i="4"/>
  <c r="I62" i="4"/>
  <c r="G29" i="4"/>
  <c r="G69" i="4"/>
  <c r="G39" i="4"/>
  <c r="A69" i="4"/>
  <c r="E40" i="6" l="1"/>
  <c r="F40" i="6" s="1"/>
  <c r="G40" i="6" s="1"/>
  <c r="H40" i="6" s="1"/>
  <c r="I40" i="6" s="1"/>
  <c r="J40" i="6" s="1"/>
  <c r="K40" i="6" s="1"/>
  <c r="L40" i="6" s="1"/>
  <c r="D41" i="6"/>
  <c r="G61" i="5"/>
  <c r="B116" i="6"/>
  <c r="C41" i="6"/>
  <c r="C42" i="6" s="1"/>
  <c r="H36" i="3"/>
  <c r="E43" i="3"/>
  <c r="K69" i="4"/>
  <c r="B9" i="3"/>
  <c r="D41" i="3"/>
  <c r="B10" i="3"/>
  <c r="K75" i="4"/>
  <c r="B11" i="3"/>
  <c r="K51" i="4"/>
  <c r="B38" i="3"/>
  <c r="C36" i="3"/>
  <c r="K72" i="4"/>
  <c r="F36" i="3"/>
  <c r="K68" i="4"/>
  <c r="K55" i="4"/>
  <c r="B37" i="3"/>
  <c r="G36" i="3"/>
  <c r="F114" i="6"/>
  <c r="E116" i="6"/>
  <c r="C17" i="5"/>
  <c r="D51" i="6"/>
  <c r="C53" i="6"/>
  <c r="C54" i="6" s="1"/>
  <c r="D43" i="5"/>
  <c r="C44" i="6"/>
  <c r="C43" i="6"/>
  <c r="E41" i="6"/>
  <c r="F39" i="6"/>
  <c r="E4" i="3"/>
  <c r="B4" i="5"/>
  <c r="D30" i="5"/>
  <c r="C116" i="6"/>
  <c r="C117" i="6" s="1"/>
  <c r="C102" i="6"/>
  <c r="B103" i="6"/>
  <c r="K55" i="5"/>
  <c r="E16" i="5"/>
  <c r="C89" i="6"/>
  <c r="B90" i="6"/>
  <c r="E101" i="6"/>
  <c r="B5" i="5"/>
  <c r="E6" i="3"/>
  <c r="K54" i="5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F78" i="6"/>
  <c r="H79" i="6" s="1"/>
  <c r="B92" i="6"/>
  <c r="D27" i="6"/>
  <c r="E88" i="6"/>
  <c r="N21" i="3"/>
  <c r="L21" i="3"/>
  <c r="M21" i="3" s="1"/>
  <c r="C29" i="6" l="1"/>
  <c r="C30" i="6" s="1"/>
  <c r="K76" i="4"/>
  <c r="C32" i="6"/>
  <c r="C31" i="6"/>
  <c r="D29" i="6"/>
  <c r="E27" i="6"/>
  <c r="F41" i="6"/>
  <c r="G39" i="6"/>
  <c r="E43" i="5"/>
  <c r="L54" i="5"/>
  <c r="I61" i="5"/>
  <c r="H61" i="5"/>
  <c r="F101" i="6"/>
  <c r="D42" i="6"/>
  <c r="D44" i="6" s="1"/>
  <c r="D43" i="6"/>
  <c r="D89" i="6"/>
  <c r="C90" i="6"/>
  <c r="C91" i="6" s="1"/>
  <c r="L55" i="5"/>
  <c r="F16" i="5"/>
  <c r="K61" i="4"/>
  <c r="C56" i="6"/>
  <c r="C55" i="6"/>
  <c r="E51" i="6"/>
  <c r="D53" i="6"/>
  <c r="D17" i="5"/>
  <c r="F88" i="6"/>
  <c r="D102" i="6"/>
  <c r="C103" i="6"/>
  <c r="C104" i="6" s="1"/>
  <c r="C119" i="6"/>
  <c r="C118" i="6"/>
  <c r="G114" i="6"/>
  <c r="F116" i="6"/>
  <c r="E30" i="5"/>
  <c r="C93" i="6" l="1"/>
  <c r="C92" i="6"/>
  <c r="G101" i="6"/>
  <c r="M5" i="5"/>
  <c r="K78" i="4"/>
  <c r="M3" i="5"/>
  <c r="E102" i="6"/>
  <c r="D103" i="6"/>
  <c r="G88" i="6"/>
  <c r="E89" i="6"/>
  <c r="D90" i="6"/>
  <c r="M54" i="5"/>
  <c r="F30" i="5"/>
  <c r="F43" i="5"/>
  <c r="F51" i="6"/>
  <c r="E53" i="6"/>
  <c r="E29" i="6"/>
  <c r="F27" i="6"/>
  <c r="C106" i="6"/>
  <c r="C105" i="6"/>
  <c r="E17" i="5"/>
  <c r="E42" i="6"/>
  <c r="E44" i="6" s="1"/>
  <c r="D54" i="6"/>
  <c r="D56" i="6" s="1"/>
  <c r="D55" i="6"/>
  <c r="G41" i="6"/>
  <c r="H39" i="6"/>
  <c r="H114" i="6"/>
  <c r="G116" i="6"/>
  <c r="D117" i="6"/>
  <c r="D119" i="6" s="1"/>
  <c r="D118" i="6"/>
  <c r="D30" i="6"/>
  <c r="D32" i="6" s="1"/>
  <c r="M55" i="5"/>
  <c r="G16" i="5"/>
  <c r="F102" i="6" l="1"/>
  <c r="E103" i="6"/>
  <c r="G43" i="5"/>
  <c r="H22" i="3"/>
  <c r="M2" i="5"/>
  <c r="N55" i="5"/>
  <c r="H16" i="5"/>
  <c r="N54" i="5"/>
  <c r="O54" i="5" s="1"/>
  <c r="P54" i="5" s="1"/>
  <c r="Q54" i="5" s="1"/>
  <c r="R54" i="5" s="1"/>
  <c r="S54" i="5" s="1"/>
  <c r="E117" i="6"/>
  <c r="E119" i="6" s="1"/>
  <c r="F29" i="6"/>
  <c r="G27" i="6"/>
  <c r="F89" i="6"/>
  <c r="E90" i="6"/>
  <c r="I114" i="6"/>
  <c r="H116" i="6"/>
  <c r="H88" i="6"/>
  <c r="H41" i="6"/>
  <c r="I39" i="6"/>
  <c r="F53" i="6"/>
  <c r="G51" i="6"/>
  <c r="E54" i="6"/>
  <c r="E56" i="6" s="1"/>
  <c r="E55" i="6"/>
  <c r="G30" i="5"/>
  <c r="H101" i="6"/>
  <c r="E43" i="6"/>
  <c r="J61" i="5"/>
  <c r="F17" i="5"/>
  <c r="D91" i="6"/>
  <c r="D93" i="6" s="1"/>
  <c r="D31" i="6"/>
  <c r="D104" i="6"/>
  <c r="D106" i="6" s="1"/>
  <c r="D105" i="6"/>
  <c r="J114" i="6" l="1"/>
  <c r="I116" i="6"/>
  <c r="E104" i="6"/>
  <c r="E106" i="6" s="1"/>
  <c r="E118" i="6"/>
  <c r="G17" i="5"/>
  <c r="I22" i="3"/>
  <c r="J22" i="3"/>
  <c r="AF9" i="3"/>
  <c r="F24" i="3"/>
  <c r="AF8" i="3" s="1"/>
  <c r="D20" i="3" s="1"/>
  <c r="B7" i="5" s="1"/>
  <c r="I21" i="3"/>
  <c r="G24" i="3"/>
  <c r="AF6" i="3" s="1"/>
  <c r="H27" i="6"/>
  <c r="G29" i="6"/>
  <c r="H43" i="5"/>
  <c r="H30" i="5"/>
  <c r="I88" i="6"/>
  <c r="F42" i="6"/>
  <c r="F44" i="6" s="1"/>
  <c r="I101" i="6"/>
  <c r="G89" i="6"/>
  <c r="F90" i="6"/>
  <c r="F54" i="6"/>
  <c r="F56" i="6" s="1"/>
  <c r="F55" i="6"/>
  <c r="G102" i="6"/>
  <c r="F103" i="6"/>
  <c r="E30" i="6"/>
  <c r="E32" i="6" s="1"/>
  <c r="G53" i="6"/>
  <c r="H51" i="6"/>
  <c r="D92" i="6"/>
  <c r="I41" i="6"/>
  <c r="J39" i="6"/>
  <c r="O55" i="5"/>
  <c r="L61" i="5" s="1"/>
  <c r="I16" i="5"/>
  <c r="I30" i="5" l="1"/>
  <c r="B44" i="5"/>
  <c r="F8" i="5"/>
  <c r="B18" i="5"/>
  <c r="B31" i="5"/>
  <c r="E91" i="6"/>
  <c r="E93" i="6" s="1"/>
  <c r="F117" i="6"/>
  <c r="F119" i="6" s="1"/>
  <c r="F118" i="6"/>
  <c r="E31" i="6"/>
  <c r="J116" i="6"/>
  <c r="K114" i="6"/>
  <c r="H102" i="6"/>
  <c r="G103" i="6"/>
  <c r="I43" i="5"/>
  <c r="H89" i="6"/>
  <c r="G90" i="6"/>
  <c r="J101" i="6"/>
  <c r="J41" i="6"/>
  <c r="K39" i="6"/>
  <c r="F43" i="6"/>
  <c r="J88" i="6"/>
  <c r="H17" i="5"/>
  <c r="H53" i="6"/>
  <c r="I51" i="6"/>
  <c r="E105" i="6"/>
  <c r="P55" i="5"/>
  <c r="M61" i="5" s="1"/>
  <c r="J16" i="5"/>
  <c r="G54" i="6"/>
  <c r="G56" i="6" s="1"/>
  <c r="H29" i="6"/>
  <c r="I27" i="6"/>
  <c r="G117" i="6" l="1"/>
  <c r="G119" i="6" s="1"/>
  <c r="I29" i="6"/>
  <c r="J27" i="6"/>
  <c r="G42" i="6"/>
  <c r="G44" i="6" s="1"/>
  <c r="G43" i="6"/>
  <c r="K41" i="6"/>
  <c r="L39" i="6"/>
  <c r="L41" i="6" s="1"/>
  <c r="E92" i="6"/>
  <c r="G55" i="6"/>
  <c r="B21" i="5"/>
  <c r="B34" i="5"/>
  <c r="B47" i="5"/>
  <c r="Q55" i="5"/>
  <c r="N61" i="5" s="1"/>
  <c r="K16" i="5"/>
  <c r="I89" i="6"/>
  <c r="H90" i="6"/>
  <c r="C44" i="5"/>
  <c r="B45" i="5"/>
  <c r="J43" i="5"/>
  <c r="I53" i="6"/>
  <c r="J51" i="6"/>
  <c r="I102" i="6"/>
  <c r="H103" i="6"/>
  <c r="C31" i="5"/>
  <c r="B32" i="5"/>
  <c r="K101" i="6"/>
  <c r="L114" i="6"/>
  <c r="L116" i="6" s="1"/>
  <c r="K116" i="6"/>
  <c r="I17" i="5"/>
  <c r="F30" i="6"/>
  <c r="F32" i="6" s="1"/>
  <c r="K88" i="6"/>
  <c r="C18" i="5"/>
  <c r="B19" i="5"/>
  <c r="J30" i="5"/>
  <c r="F104" i="6"/>
  <c r="F106" i="6" s="1"/>
  <c r="F105" i="6"/>
  <c r="G118" i="6" l="1"/>
  <c r="C32" i="5"/>
  <c r="D31" i="5"/>
  <c r="C33" i="5"/>
  <c r="C34" i="5"/>
  <c r="J102" i="6"/>
  <c r="I103" i="6"/>
  <c r="J53" i="6"/>
  <c r="K51" i="6"/>
  <c r="H54" i="6"/>
  <c r="H56" i="6" s="1"/>
  <c r="H55" i="6"/>
  <c r="L88" i="6"/>
  <c r="F91" i="6"/>
  <c r="F93" i="6" s="1"/>
  <c r="F92" i="6"/>
  <c r="K43" i="5"/>
  <c r="F31" i="6"/>
  <c r="L16" i="5"/>
  <c r="R55" i="5"/>
  <c r="O61" i="5" s="1"/>
  <c r="L101" i="6"/>
  <c r="G104" i="6"/>
  <c r="G106" i="6" s="1"/>
  <c r="K30" i="5"/>
  <c r="D18" i="5"/>
  <c r="C19" i="5"/>
  <c r="C20" i="5" s="1"/>
  <c r="C21" i="5" s="1"/>
  <c r="H42" i="6"/>
  <c r="H44" i="6" s="1"/>
  <c r="H43" i="6"/>
  <c r="D44" i="5"/>
  <c r="C45" i="5"/>
  <c r="C46" i="5" s="1"/>
  <c r="J17" i="5"/>
  <c r="J29" i="6"/>
  <c r="K27" i="6"/>
  <c r="J89" i="6"/>
  <c r="I90" i="6"/>
  <c r="H117" i="6"/>
  <c r="H119" i="6" s="1"/>
  <c r="C48" i="5" l="1"/>
  <c r="J58" i="5"/>
  <c r="G64" i="5" s="1"/>
  <c r="C47" i="5"/>
  <c r="K89" i="6"/>
  <c r="J90" i="6"/>
  <c r="C22" i="5"/>
  <c r="J56" i="5"/>
  <c r="G62" i="5" s="1"/>
  <c r="K53" i="6"/>
  <c r="L51" i="6"/>
  <c r="L53" i="6" s="1"/>
  <c r="K29" i="6"/>
  <c r="L27" i="6"/>
  <c r="L29" i="6" s="1"/>
  <c r="K17" i="5"/>
  <c r="I42" i="6"/>
  <c r="I44" i="6" s="1"/>
  <c r="G91" i="6"/>
  <c r="G93" i="6" s="1"/>
  <c r="G92" i="6"/>
  <c r="D20" i="5"/>
  <c r="I54" i="6"/>
  <c r="I56" i="6" s="1"/>
  <c r="I55" i="6"/>
  <c r="E44" i="5"/>
  <c r="D45" i="5"/>
  <c r="K102" i="6"/>
  <c r="J103" i="6"/>
  <c r="S55" i="5"/>
  <c r="P61" i="5" s="1"/>
  <c r="E18" i="5"/>
  <c r="D19" i="5"/>
  <c r="C35" i="5"/>
  <c r="J57" i="5"/>
  <c r="G63" i="5" s="1"/>
  <c r="L30" i="5"/>
  <c r="G30" i="6"/>
  <c r="G32" i="6" s="1"/>
  <c r="D32" i="5"/>
  <c r="D33" i="5" s="1"/>
  <c r="E31" i="5"/>
  <c r="H118" i="6"/>
  <c r="G105" i="6"/>
  <c r="L43" i="5"/>
  <c r="G31" i="6" l="1"/>
  <c r="D35" i="5"/>
  <c r="K57" i="5"/>
  <c r="H63" i="5" s="1"/>
  <c r="D34" i="5"/>
  <c r="I117" i="6"/>
  <c r="I119" i="6" s="1"/>
  <c r="I118" i="6"/>
  <c r="F31" i="5"/>
  <c r="E32" i="5"/>
  <c r="L102" i="6"/>
  <c r="L103" i="6" s="1"/>
  <c r="K103" i="6"/>
  <c r="F44" i="5"/>
  <c r="E45" i="5"/>
  <c r="F18" i="5"/>
  <c r="E19" i="5"/>
  <c r="H91" i="6"/>
  <c r="H93" i="6" s="1"/>
  <c r="D46" i="5"/>
  <c r="D47" i="5"/>
  <c r="H104" i="6"/>
  <c r="H106" i="6" s="1"/>
  <c r="L17" i="5"/>
  <c r="J54" i="6"/>
  <c r="J56" i="6" s="1"/>
  <c r="D22" i="5"/>
  <c r="K56" i="5"/>
  <c r="H62" i="5" s="1"/>
  <c r="D21" i="5"/>
  <c r="L89" i="6"/>
  <c r="L90" i="6" s="1"/>
  <c r="K90" i="6"/>
  <c r="I43" i="6"/>
  <c r="J55" i="6" l="1"/>
  <c r="H30" i="6"/>
  <c r="H32" i="6" s="1"/>
  <c r="G18" i="5"/>
  <c r="F19" i="5"/>
  <c r="G44" i="5"/>
  <c r="F45" i="5"/>
  <c r="F32" i="5"/>
  <c r="G31" i="5"/>
  <c r="J117" i="6"/>
  <c r="J119" i="6" s="1"/>
  <c r="H105" i="6"/>
  <c r="E46" i="5"/>
  <c r="E47" i="5" s="1"/>
  <c r="J42" i="6"/>
  <c r="J44" i="6" s="1"/>
  <c r="J43" i="6"/>
  <c r="D48" i="5"/>
  <c r="K58" i="5"/>
  <c r="H64" i="5" s="1"/>
  <c r="E33" i="5"/>
  <c r="H92" i="6"/>
  <c r="E20" i="5"/>
  <c r="E21" i="5" s="1"/>
  <c r="K54" i="6"/>
  <c r="K56" i="6" s="1"/>
  <c r="K55" i="6" l="1"/>
  <c r="H31" i="6"/>
  <c r="I30" i="6" s="1"/>
  <c r="I32" i="6" s="1"/>
  <c r="F20" i="5"/>
  <c r="H44" i="5"/>
  <c r="G45" i="5"/>
  <c r="I91" i="6"/>
  <c r="I93" i="6" s="1"/>
  <c r="L57" i="5"/>
  <c r="I63" i="5" s="1"/>
  <c r="E35" i="5"/>
  <c r="I31" i="6"/>
  <c r="E34" i="5"/>
  <c r="K42" i="6"/>
  <c r="K44" i="6" s="1"/>
  <c r="K43" i="6"/>
  <c r="F46" i="5"/>
  <c r="F47" i="5" s="1"/>
  <c r="E48" i="5"/>
  <c r="L58" i="5"/>
  <c r="I64" i="5" s="1"/>
  <c r="I104" i="6"/>
  <c r="I106" i="6" s="1"/>
  <c r="J118" i="6"/>
  <c r="L54" i="6"/>
  <c r="L56" i="6" s="1"/>
  <c r="B57" i="6" s="1"/>
  <c r="B58" i="6" s="1"/>
  <c r="L55" i="6"/>
  <c r="H31" i="5"/>
  <c r="G32" i="5"/>
  <c r="L56" i="5"/>
  <c r="I62" i="5" s="1"/>
  <c r="E22" i="5"/>
  <c r="H18" i="5"/>
  <c r="G19" i="5"/>
  <c r="I105" i="6" l="1"/>
  <c r="G46" i="5"/>
  <c r="G47" i="5" s="1"/>
  <c r="H32" i="5"/>
  <c r="I31" i="5"/>
  <c r="I18" i="5"/>
  <c r="H19" i="5"/>
  <c r="F33" i="5"/>
  <c r="I92" i="6"/>
  <c r="K117" i="6"/>
  <c r="K119" i="6" s="1"/>
  <c r="J104" i="6"/>
  <c r="J106" i="6" s="1"/>
  <c r="M58" i="5"/>
  <c r="J64" i="5" s="1"/>
  <c r="F48" i="5"/>
  <c r="L42" i="6"/>
  <c r="L44" i="6" s="1"/>
  <c r="B45" i="6" s="1"/>
  <c r="B46" i="6" s="1"/>
  <c r="J30" i="6"/>
  <c r="J32" i="6" s="1"/>
  <c r="J31" i="6"/>
  <c r="B23" i="6"/>
  <c r="B59" i="6"/>
  <c r="C23" i="6" s="1"/>
  <c r="I44" i="5"/>
  <c r="H45" i="5"/>
  <c r="M56" i="5"/>
  <c r="J62" i="5" s="1"/>
  <c r="F22" i="5"/>
  <c r="F21" i="5"/>
  <c r="J105" i="6" l="1"/>
  <c r="H46" i="5"/>
  <c r="H47" i="5"/>
  <c r="I32" i="5"/>
  <c r="J31" i="5"/>
  <c r="L43" i="6"/>
  <c r="G20" i="5"/>
  <c r="J91" i="6"/>
  <c r="J93" i="6" s="1"/>
  <c r="J92" i="6"/>
  <c r="M57" i="5"/>
  <c r="J63" i="5" s="1"/>
  <c r="F35" i="5"/>
  <c r="J18" i="5"/>
  <c r="I19" i="5"/>
  <c r="K30" i="6"/>
  <c r="K32" i="6" s="1"/>
  <c r="N58" i="5"/>
  <c r="K64" i="5" s="1"/>
  <c r="G48" i="5"/>
  <c r="K104" i="6"/>
  <c r="K106" i="6" s="1"/>
  <c r="K118" i="6"/>
  <c r="J44" i="5"/>
  <c r="I45" i="5"/>
  <c r="F34" i="5"/>
  <c r="B22" i="6"/>
  <c r="B47" i="6"/>
  <c r="C22" i="6" s="1"/>
  <c r="K18" i="5" l="1"/>
  <c r="J19" i="5"/>
  <c r="K31" i="6"/>
  <c r="K44" i="5"/>
  <c r="J45" i="5"/>
  <c r="L117" i="6"/>
  <c r="L119" i="6" s="1"/>
  <c r="B120" i="6" s="1"/>
  <c r="B122" i="6" s="1"/>
  <c r="I46" i="5"/>
  <c r="I47" i="5" s="1"/>
  <c r="K91" i="6"/>
  <c r="K93" i="6" s="1"/>
  <c r="G33" i="5"/>
  <c r="N56" i="5"/>
  <c r="K62" i="5" s="1"/>
  <c r="G22" i="5"/>
  <c r="G21" i="5"/>
  <c r="J32" i="5"/>
  <c r="K31" i="5"/>
  <c r="K105" i="6"/>
  <c r="O58" i="5"/>
  <c r="L64" i="5" s="1"/>
  <c r="H48" i="5"/>
  <c r="L30" i="6" l="1"/>
  <c r="L32" i="6" s="1"/>
  <c r="B33" i="6" s="1"/>
  <c r="B34" i="6" s="1"/>
  <c r="L18" i="5"/>
  <c r="L19" i="5" s="1"/>
  <c r="K19" i="5"/>
  <c r="J46" i="5"/>
  <c r="K45" i="5"/>
  <c r="L44" i="5"/>
  <c r="L45" i="5" s="1"/>
  <c r="L104" i="6"/>
  <c r="L106" i="6" s="1"/>
  <c r="B107" i="6" s="1"/>
  <c r="B109" i="6" s="1"/>
  <c r="L105" i="6"/>
  <c r="L31" i="5"/>
  <c r="L32" i="5" s="1"/>
  <c r="K32" i="5"/>
  <c r="H20" i="5"/>
  <c r="N57" i="5"/>
  <c r="G35" i="5"/>
  <c r="G34" i="5"/>
  <c r="K92" i="6"/>
  <c r="P58" i="5"/>
  <c r="M64" i="5" s="1"/>
  <c r="I48" i="5"/>
  <c r="B123" i="6"/>
  <c r="C123" i="6" s="1"/>
  <c r="C84" i="6" s="1"/>
  <c r="C122" i="6"/>
  <c r="B84" i="6" s="1"/>
  <c r="L118" i="6"/>
  <c r="L31" i="6" l="1"/>
  <c r="O56" i="5"/>
  <c r="L62" i="5" s="1"/>
  <c r="H22" i="5"/>
  <c r="Q58" i="5"/>
  <c r="N64" i="5" s="1"/>
  <c r="J48" i="5"/>
  <c r="J47" i="5"/>
  <c r="B35" i="6"/>
  <c r="C21" i="6" s="1"/>
  <c r="B21" i="6"/>
  <c r="H33" i="5"/>
  <c r="H34" i="5" s="1"/>
  <c r="H21" i="5"/>
  <c r="B110" i="6"/>
  <c r="C110" i="6" s="1"/>
  <c r="C83" i="6" s="1"/>
  <c r="C109" i="6"/>
  <c r="B83" i="6" s="1"/>
  <c r="L91" i="6"/>
  <c r="L93" i="6" s="1"/>
  <c r="B94" i="6" s="1"/>
  <c r="B96" i="6" s="1"/>
  <c r="I33" i="5" l="1"/>
  <c r="I34" i="5"/>
  <c r="B97" i="6"/>
  <c r="C97" i="6" s="1"/>
  <c r="C82" i="6" s="1"/>
  <c r="C96" i="6"/>
  <c r="B82" i="6" s="1"/>
  <c r="L92" i="6"/>
  <c r="I20" i="5"/>
  <c r="I21" i="5" s="1"/>
  <c r="O57" i="5"/>
  <c r="L63" i="5" s="1"/>
  <c r="H35" i="5"/>
  <c r="K46" i="5"/>
  <c r="K47" i="5"/>
  <c r="J20" i="5" l="1"/>
  <c r="J21" i="5" s="1"/>
  <c r="P57" i="5"/>
  <c r="M63" i="5" s="1"/>
  <c r="I35" i="5"/>
  <c r="L46" i="5"/>
  <c r="L47" i="5" s="1"/>
  <c r="K48" i="5"/>
  <c r="R58" i="5"/>
  <c r="O64" i="5" s="1"/>
  <c r="J33" i="5"/>
  <c r="P56" i="5"/>
  <c r="M62" i="5" s="1"/>
  <c r="I22" i="5"/>
  <c r="L48" i="5" l="1"/>
  <c r="B49" i="5" s="1"/>
  <c r="B51" i="5" s="1"/>
  <c r="S58" i="5"/>
  <c r="K20" i="5"/>
  <c r="K21" i="5"/>
  <c r="Q56" i="5"/>
  <c r="N62" i="5" s="1"/>
  <c r="J22" i="5"/>
  <c r="J35" i="5"/>
  <c r="Q57" i="5"/>
  <c r="J34" i="5"/>
  <c r="K33" i="5" l="1"/>
  <c r="L20" i="5"/>
  <c r="L21" i="5"/>
  <c r="K22" i="5"/>
  <c r="R56" i="5"/>
  <c r="O62" i="5" s="1"/>
  <c r="K61" i="5"/>
  <c r="K63" i="5"/>
  <c r="P64" i="5"/>
  <c r="N63" i="5"/>
  <c r="B52" i="5"/>
  <c r="C52" i="5" s="1"/>
  <c r="C13" i="5" s="1"/>
  <c r="F30" i="3" s="1"/>
  <c r="C51" i="5"/>
  <c r="B13" i="5" s="1"/>
  <c r="E13" i="5" s="1"/>
  <c r="G30" i="3" s="1"/>
  <c r="S56" i="5" l="1"/>
  <c r="P62" i="5" s="1"/>
  <c r="L22" i="5"/>
  <c r="B23" i="5" s="1"/>
  <c r="B25" i="5" s="1"/>
  <c r="R57" i="5"/>
  <c r="O63" i="5" s="1"/>
  <c r="K35" i="5"/>
  <c r="K34" i="5"/>
  <c r="B26" i="5" l="1"/>
  <c r="C26" i="5" s="1"/>
  <c r="C11" i="5" s="1"/>
  <c r="F28" i="3" s="1"/>
  <c r="F31" i="3" s="1"/>
  <c r="C25" i="5"/>
  <c r="B11" i="5" s="1"/>
  <c r="E11" i="5" s="1"/>
  <c r="G28" i="3" s="1"/>
  <c r="L33" i="5"/>
  <c r="L34" i="5"/>
  <c r="S57" i="5" l="1"/>
  <c r="P63" i="5" s="1"/>
  <c r="L35" i="5"/>
  <c r="B36" i="5" s="1"/>
  <c r="B38" i="5" s="1"/>
  <c r="C28" i="3"/>
  <c r="D28" i="3" s="1"/>
  <c r="C30" i="3"/>
  <c r="G31" i="3"/>
  <c r="C29" i="3"/>
  <c r="B39" i="5" l="1"/>
  <c r="C39" i="5" s="1"/>
  <c r="C12" i="5" s="1"/>
  <c r="F29" i="3" s="1"/>
  <c r="C38" i="5"/>
  <c r="B12" i="5" s="1"/>
  <c r="E12" i="5" s="1"/>
  <c r="G29" i="3" s="1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<sst xmlns="http://schemas.openxmlformats.org/spreadsheetml/2006/main" count="1060" uniqueCount="435">
  <si>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</si>
  <si>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</si>
  <si>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</si>
  <si>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</si>
  <si>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</si>
  <si>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</si>
  <si>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</si>
  <si>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</si>
  <si>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</si>
  <si>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</si>
  <si>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</si>
  <si>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</si>
  <si>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</si>
  <si>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</si>
  <si>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</si>
  <si>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</si>
  <si>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</si>
  <si>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</si>
  <si>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</si>
  <si>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</si>
  <si>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</si>
  <si>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</si>
  <si>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</si>
  <si>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</si>
  <si>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</si>
  <si>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</si>
  <si>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</si>
  <si>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</si>
  <si>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</si>
  <si>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</si>
  <si>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</si>
  <si>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</si>
  <si>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</si>
  <si>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</si>
  <si>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</si>
  <si>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</si>
  <si>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</si>
  <si>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</si>
  <si>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</si>
  <si>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</si>
  <si>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</si>
  <si>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</si>
  <si>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</si>
  <si>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</si>
  <si>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</si>
  <si>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</si>
  <si>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</si>
  <si>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</si>
  <si>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</si>
  <si>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</si>
  <si>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</si>
  <si>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</si>
  <si>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</si>
  <si>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</si>
  <si>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</si>
  <si>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</si>
  <si>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</si>
  <si>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</si>
  <si>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</si>
  <si>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</si>
  <si>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</si>
  <si>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위메이드플레이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</si>
  <si>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</si>
  <si>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</si>
  <si>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</si>
  <si>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</si>
  <si>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</si>
  <si>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</si>
  <si>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</si>
  <si>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</si>
  <si>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</si>
  <si>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</si>
  <si>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</si>
  <si>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</si>
  <si>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</si>
  <si>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</si>
  <si>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</si>
  <si>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</si>
  <si>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</si>
  <si>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</si>
  <si>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</si>
  <si>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</si>
  <si>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</si>
  <si>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</si>
  <si>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</si>
  <si>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</si>
  <si>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</si>
  <si>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</si>
  <si>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</si>
  <si>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</si>
  <si>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</si>
  <si>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</si>
  <si>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</si>
  <si>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</si>
  <si>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</si>
  <si>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</si>
  <si>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</si>
  <si>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</si>
  <si>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</si>
  <si>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</si>
  <si>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</si>
  <si>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</si>
  <si>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</si>
  <si>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</si>
  <si>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</si>
  <si>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</si>
  <si>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6,730/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</si>
  <si>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</si>
  <si>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</si>
  <si>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</si>
  <si>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</si>
  <si>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</si>
  <si>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</si>
  <si>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</si>
  <si>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</si>
  <si>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</si>
  <si>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</si>
  <si>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</si>
  <si>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</si>
  <si>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</si>
  <si>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</si>
  <si>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</si>
  <si>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</si>
  <si>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</si>
  <si>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10,552,334/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</si>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</sst>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F0-4696-9239-BB43686C4CF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F0-4696-9239-BB43686C4CF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F0-4696-9239-BB43686C4CF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F0-4696-9239-BB43686C4CF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4F0-4696-9239-BB43686C4CF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142</c:v>
                </c:pt>
                <c:pt idx="1">
                  <c:v>-4</c:v>
                </c:pt>
                <c:pt idx="2">
                  <c:v>43</c:v>
                </c:pt>
                <c:pt idx="3">
                  <c:v>236</c:v>
                </c:pt>
                <c:pt idx="4">
                  <c:v>188</c:v>
                </c:pt>
                <c:pt idx="5">
                  <c:v>81.224971457464306</c:v>
                </c:pt>
                <c:pt idx="6">
                  <c:v>83.706165887049067</c:v>
                </c:pt>
                <c:pt idx="7">
                  <c:v>86.263153828000299</c:v>
                </c:pt>
                <c:pt idx="8">
                  <c:v>88.898250558917994</c:v>
                </c:pt>
                <c:pt idx="9">
                  <c:v>91.613842083651591</c:v>
                </c:pt>
                <c:pt idx="10">
                  <c:v>94.412387291757355</c:v>
                </c:pt>
                <c:pt idx="11">
                  <c:v>97.296420184951813</c:v>
                </c:pt>
                <c:pt idx="12">
                  <c:v>100.26855217157691</c:v>
                </c:pt>
                <c:pt idx="13">
                  <c:v>103.33147443115482</c:v>
                </c:pt>
                <c:pt idx="14">
                  <c:v>106.48796035117296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F0-4696-9239-BB43686C4CF6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4F0-4696-9239-BB43686C4CF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4F0-4696-9239-BB43686C4CF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4F0-4696-9239-BB43686C4CF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4F0-4696-9239-BB43686C4CF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4F0-4696-9239-BB43686C4CF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F0-4696-9239-BB43686C4CF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142</c:v>
                </c:pt>
                <c:pt idx="1">
                  <c:v>-4</c:v>
                </c:pt>
                <c:pt idx="2">
                  <c:v>43</c:v>
                </c:pt>
                <c:pt idx="3">
                  <c:v>236</c:v>
                </c:pt>
                <c:pt idx="4">
                  <c:v>188</c:v>
                </c:pt>
                <c:pt idx="5">
                  <c:v>100.38381431171786</c:v>
                </c:pt>
                <c:pt idx="6">
                  <c:v>122.06747394370039</c:v>
                </c:pt>
                <c:pt idx="7">
                  <c:v>144.28435009902719</c:v>
                </c:pt>
                <c:pt idx="8">
                  <c:v>167.4023028585369</c:v>
                </c:pt>
                <c:pt idx="9">
                  <c:v>191.7592202297171</c:v>
                </c:pt>
                <c:pt idx="10">
                  <c:v>217.67658017471098</c:v>
                </c:pt>
                <c:pt idx="11">
                  <c:v>245.46987522104843</c:v>
                </c:pt>
                <c:pt idx="12">
                  <c:v>275.4569182297102</c:v>
                </c:pt>
                <c:pt idx="13">
                  <c:v>307.96472661050768</c:v>
                </c:pt>
                <c:pt idx="14">
                  <c:v>343.33547178953404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F0-4696-9239-BB43686C4CF6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4F0-4696-9239-BB43686C4CF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A4F0-4696-9239-BB43686C4CF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4F0-4696-9239-BB43686C4CF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4F0-4696-9239-BB43686C4CF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4F0-4696-9239-BB43686C4CF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4F0-4696-9239-BB43686C4CF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142</c:v>
                </c:pt>
                <c:pt idx="1">
                  <c:v>-4</c:v>
                </c:pt>
                <c:pt idx="2">
                  <c:v>43</c:v>
                </c:pt>
                <c:pt idx="3">
                  <c:v>236</c:v>
                </c:pt>
                <c:pt idx="4">
                  <c:v>188</c:v>
                </c:pt>
                <c:pt idx="5">
                  <c:v>119.54265716597145</c:v>
                </c:pt>
                <c:pt idx="6">
                  <c:v>156.94931617096344</c:v>
                </c:pt>
                <c:pt idx="7">
                  <c:v>192.88812459694736</c:v>
                </c:pt>
                <c:pt idx="8">
                  <c:v>228.64444173493288</c:v>
                </c:pt>
                <c:pt idx="9">
                  <c:v>265.17047671926861</c:v>
                </c:pt>
                <c:pt idx="10">
                  <c:v>303.22041953037359</c:v>
                </c:pt>
                <c:pt idx="11">
                  <c:v>343.43235903199519</c:v>
                </c:pt>
                <c:pt idx="12">
                  <c:v>386.38000504831098</c:v>
                </c:pt>
                <c:pt idx="13">
                  <c:v>432.60675915865181</c:v>
                </c:pt>
                <c:pt idx="14">
                  <c:v>482.64922469931184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4F0-4696-9239-BB43686C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3.37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554.91999999999996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0.3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0.81252000000000002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151293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3.37</v>
      </c>
      <c r="C282">
        <v>554.91999999999996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19.239999999999998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10.17</v>
      </c>
      <c r="C290">
        <v>0.27</v>
      </c>
      <c r="D290">
        <v>0.77</v>
      </c>
    </row>
    <row r="291" spans="1:4" x14ac:dyDescent="0.4">
      <c r="A291" t="s">
        <v>85</v>
      </c>
      <c r="B291">
        <v>1.84</v>
      </c>
      <c r="C291">
        <v>0.8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7.95</v>
      </c>
      <c r="C443">
        <v>-0.18</v>
      </c>
      <c r="D443">
        <v>1.0900000000000001</v>
      </c>
      <c r="E443">
        <v>6.16</v>
      </c>
      <c r="F443">
        <v>5.82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296</v>
      </c>
      <c r="C482" s="194">
        <v>311</v>
      </c>
      <c r="D482" s="194">
        <v>322</v>
      </c>
      <c r="E482" s="194">
        <v>322</v>
      </c>
      <c r="F482" s="194">
        <v>322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25</v>
      </c>
      <c r="C483" s="194">
        <v>34</v>
      </c>
      <c r="D483" s="194">
        <v>31</v>
      </c>
      <c r="E483" s="194">
        <v>31</v>
      </c>
      <c r="F483" s="194">
        <v>31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25</v>
      </c>
      <c r="C484" s="194">
        <v>34</v>
      </c>
      <c r="D484" s="194">
        <v>31</v>
      </c>
      <c r="E484" s="194">
        <v>31</v>
      </c>
      <c r="F484" s="194">
        <v>31</v>
      </c>
      <c r="G484" s="194"/>
      <c r="H484" s="194"/>
      <c r="I484" s="194"/>
    </row>
    <row r="485" spans="1:9" x14ac:dyDescent="0.4">
      <c r="A485" t="s">
        <v>277</v>
      </c>
      <c r="B485" s="194">
        <v>136</v>
      </c>
      <c r="C485" s="194">
        <v>42</v>
      </c>
      <c r="D485" s="194">
        <v>-9</v>
      </c>
      <c r="E485" s="194">
        <v>-9</v>
      </c>
      <c r="F485" s="194">
        <v>-9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125</v>
      </c>
      <c r="C486" s="194">
        <v>38</v>
      </c>
      <c r="D486" s="194">
        <v>-13</v>
      </c>
      <c r="E486" s="194">
        <v>-13</v>
      </c>
      <c r="F486" s="194">
        <v>-13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10</v>
      </c>
      <c r="C487" s="194">
        <v>4</v>
      </c>
      <c r="D487" s="194">
        <v>4</v>
      </c>
      <c r="E487" s="194">
        <v>4</v>
      </c>
      <c r="F487" s="194">
        <v>4</v>
      </c>
    </row>
    <row r="488" spans="1:9" x14ac:dyDescent="0.4">
      <c r="A488" t="s">
        <v>280</v>
      </c>
      <c r="B488" s="194">
        <v>3035</v>
      </c>
      <c r="C488" s="194">
        <v>3188</v>
      </c>
      <c r="D488" s="194">
        <v>3168</v>
      </c>
      <c r="E488" s="194">
        <v>3168</v>
      </c>
      <c r="F488" s="194">
        <v>3168</v>
      </c>
    </row>
    <row r="489" spans="1:9" x14ac:dyDescent="0.4">
      <c r="A489" t="s">
        <v>281</v>
      </c>
      <c r="B489" s="194">
        <v>304</v>
      </c>
      <c r="C489" s="194">
        <v>413</v>
      </c>
      <c r="D489" s="194">
        <v>397</v>
      </c>
      <c r="E489" s="194">
        <v>397</v>
      </c>
      <c r="F489" s="194">
        <v>397</v>
      </c>
    </row>
    <row r="490" spans="1:9" x14ac:dyDescent="0.4">
      <c r="A490" t="s">
        <v>282</v>
      </c>
      <c r="B490" s="194">
        <v>2731</v>
      </c>
      <c r="C490" s="194">
        <v>2775</v>
      </c>
      <c r="D490" s="194">
        <v>2770</v>
      </c>
      <c r="E490" s="194">
        <v>2770</v>
      </c>
      <c r="F490" s="194">
        <v>2770</v>
      </c>
    </row>
    <row r="491" spans="1:9" x14ac:dyDescent="0.4">
      <c r="A491" t="s">
        <v>283</v>
      </c>
      <c r="B491" s="194">
        <v>2615</v>
      </c>
      <c r="C491" s="194">
        <v>2668</v>
      </c>
      <c r="D491" s="194">
        <v>2659</v>
      </c>
      <c r="E491" s="194">
        <v>2659</v>
      </c>
      <c r="F491" s="194">
        <v>2659</v>
      </c>
    </row>
    <row r="492" spans="1:9" x14ac:dyDescent="0.4">
      <c r="A492" t="s">
        <v>284</v>
      </c>
      <c r="B492" s="194">
        <v>115</v>
      </c>
      <c r="C492" s="194">
        <v>107</v>
      </c>
      <c r="D492" s="194">
        <v>111</v>
      </c>
      <c r="E492" s="194">
        <v>111</v>
      </c>
      <c r="F492" s="194">
        <v>111</v>
      </c>
    </row>
    <row r="493" spans="1:9" x14ac:dyDescent="0.4">
      <c r="A493" t="s">
        <v>285</v>
      </c>
      <c r="B493" s="194">
        <v>57</v>
      </c>
      <c r="C493" s="194">
        <v>57</v>
      </c>
      <c r="D493" s="196">
        <v>57</v>
      </c>
      <c r="E493" s="196">
        <v>57</v>
      </c>
      <c r="F493" s="196">
        <v>57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15.22</v>
      </c>
      <c r="C510">
        <v>5.4</v>
      </c>
      <c r="D510">
        <v>-1.1200000000000001</v>
      </c>
      <c r="E510">
        <v>-1.1200000000000001</v>
      </c>
      <c r="F510">
        <v>-1.1200000000000001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위메이드플레이</v>
      </c>
      <c r="D4" s="82" t="s">
        <v>340</v>
      </c>
      <c r="E4" s="83">
        <f ca="1">Data!B7</f>
        <v>10552334</v>
      </c>
      <c r="F4" s="84"/>
      <c r="G4" s="84"/>
      <c r="H4" s="85"/>
    </row>
    <row r="5" spans="2:34" x14ac:dyDescent="0.4">
      <c r="B5" s="86" t="s">
        <v>341</v>
      </c>
      <c r="C5" s="87">
        <f ca="1">Data!B5</f>
        <v>6730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0.81252000000000002</v>
      </c>
      <c r="D6" s="88" t="s">
        <v>344</v>
      </c>
      <c r="E6" s="89">
        <f ca="1">Data!B8</f>
        <v>151293</v>
      </c>
      <c r="H6" s="90"/>
      <c r="AD6" s="32" t="s">
        <v>345</v>
      </c>
      <c r="AE6" s="32" t="s">
        <v>346</v>
      </c>
      <c r="AF6" s="3">
        <f ca="1">G24</f>
        <v>3.0547187460498042E-2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3.0547187460498042E-2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-3.7921880925293893E-4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3.0547187460498042E-2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9.4200000000000006E-2</v>
      </c>
      <c r="D22" s="120">
        <f>Data!C40</f>
        <v>-2.0999999999999999E-3</v>
      </c>
      <c r="E22" s="121">
        <f>Data!D40</f>
        <v>0.02</v>
      </c>
      <c r="F22" s="122">
        <f>Data!E40</f>
        <v>0.1017</v>
      </c>
      <c r="G22" s="122">
        <f>Data!F40</f>
        <v>7.3800000000000004E-2</v>
      </c>
      <c r="H22" s="123">
        <f ca="1">Data!K78</f>
        <v>-3.7921880925293893E-4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3.0547187460498042E-2</v>
      </c>
      <c r="G24" s="122">
        <f ca="1">IF(E24="컨센 없음",IF(D24="컨센 없음",IF(C24="컨센 없음",IF(H22="분기자료부족",J22,IF(I21="상승추세",H22,IF(I22="하락추세",H22,F24))),C24),D24),E24)</f>
        <v>3.0547187460498042E-2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6730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13283.770104745858</v>
      </c>
      <c r="D28" s="143">
        <f ca="1">C27/C28-1</f>
        <v>-0.49336672142529847</v>
      </c>
      <c r="E28" s="144" t="s">
        <v>368</v>
      </c>
      <c r="F28" s="145">
        <f ca="1">RIM계산!C11</f>
        <v>13283.770104745858</v>
      </c>
      <c r="G28" s="146">
        <f ca="1">RIM계산!E11</f>
        <v>7.3492041220231883</v>
      </c>
    </row>
    <row r="29" spans="2:14" x14ac:dyDescent="0.4">
      <c r="B29" s="147" t="s">
        <v>369</v>
      </c>
      <c r="C29" s="148">
        <f ca="1">IF(C26="초과이익 가정",IF(F31="정배열",F28,F30),C28*(1+D26))</f>
        <v>20597.622962466528</v>
      </c>
      <c r="E29" s="149" t="s">
        <v>370</v>
      </c>
      <c r="F29" s="150">
        <f ca="1">RIM계산!C12</f>
        <v>17655.47644423704</v>
      </c>
      <c r="G29" s="151">
        <f ca="1">RIM계산!E12</f>
        <v>9.7678369346299814</v>
      </c>
    </row>
    <row r="30" spans="2:14" x14ac:dyDescent="0.4">
      <c r="B30" s="152" t="s">
        <v>371</v>
      </c>
      <c r="C30" s="153">
        <f ca="1">IF(C26="초과이익 가정",IF(F31="정배열",F30,F28),C28*(1-D26))</f>
        <v>13283.770104745858</v>
      </c>
      <c r="E30" s="149" t="s">
        <v>372</v>
      </c>
      <c r="F30" s="154">
        <f ca="1">RIM계산!C13</f>
        <v>20597.622962466528</v>
      </c>
      <c r="G30" s="155">
        <f ca="1">RIM계산!E13</f>
        <v>11.39557026250829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7.9500000000000001E-2</v>
      </c>
      <c r="D36" s="6">
        <f ca="1">Data!C39</f>
        <v>-1.8E-3</v>
      </c>
      <c r="E36" s="6">
        <f ca="1">Data!D39</f>
        <v>1.09E-2</v>
      </c>
      <c r="F36" s="6">
        <f ca="1">Data!E39</f>
        <v>6.1600000000000002E-2</v>
      </c>
      <c r="G36" s="6">
        <f ca="1">Data!F39</f>
        <v>5.8200000000000002E-2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1488</v>
      </c>
      <c r="D37" s="71">
        <f>Data!C41</f>
        <v>-34</v>
      </c>
      <c r="E37" s="71">
        <f>Data!D41</f>
        <v>376</v>
      </c>
      <c r="F37" s="71">
        <f>Data!E41</f>
        <v>2053</v>
      </c>
      <c r="G37" s="71">
        <f>Data!F41</f>
        <v>1667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18563</v>
      </c>
      <c r="D38" s="71">
        <f>Data!C42</f>
        <v>20292</v>
      </c>
      <c r="E38" s="71">
        <f>Data!D42</f>
        <v>20732</v>
      </c>
      <c r="F38" s="71">
        <f>Data!E42</f>
        <v>23078</v>
      </c>
      <c r="G38" s="71">
        <f>Data!F42</f>
        <v>25463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위메이드플레이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0.1017</v>
      </c>
      <c r="D42" s="6">
        <f>Data!C85</f>
        <v>2.7000000000000001E-3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3.37</v>
      </c>
      <c r="D43" s="183">
        <f>Data!C86</f>
        <v>554.91999999999996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8.0000000000000002E-3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위메이드플레이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6730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6,730/ </v>
      </c>
    </row>
    <row r="6" spans="1:9" x14ac:dyDescent="0.4">
      <c r="A6" s="15" t="s">
        <v>114</v>
      </c>
      <c r="B6" s="15">
        <f ca="1">I6</f>
        <v>0.81252000000000002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0.81252000000000002</v>
      </c>
    </row>
    <row r="7" spans="1:9" x14ac:dyDescent="0.4">
      <c r="A7" s="15" t="s">
        <v>123</v>
      </c>
      <c r="B7" s="66">
        <f ca="1">LEFT(I7,SEARCHB("/",I7)-1)*1</f>
        <v>10552334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10,552,334/ 0</v>
      </c>
    </row>
    <row r="8" spans="1:9" x14ac:dyDescent="0.4">
      <c r="A8" s="15" t="s">
        <v>177</v>
      </c>
      <c r="B8" s="66">
        <f ca="1">I8</f>
        <v>151293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151293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3.37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3.37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554.91999999999996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554.91999999999996</v>
      </c>
    </row>
    <row r="19" spans="1:9" x14ac:dyDescent="0.4">
      <c r="A19" s="9" t="s">
        <v>247</v>
      </c>
      <c r="B19" s="9">
        <f t="shared" ca="1" si="0"/>
        <v>19.239999999999998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19.239999999999998</v>
      </c>
    </row>
    <row r="20" spans="1:9" x14ac:dyDescent="0.4">
      <c r="A20" s="9" t="s">
        <v>84</v>
      </c>
      <c r="B20" s="9">
        <f t="shared" ca="1" si="0"/>
        <v>0.3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0.3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1057</v>
      </c>
      <c r="C27" s="71">
        <v>1340</v>
      </c>
      <c r="D27" s="71">
        <v>1217</v>
      </c>
      <c r="E27" s="71">
        <v>1204</v>
      </c>
      <c r="F27" s="71">
        <v>1253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85</v>
      </c>
      <c r="C28" s="71">
        <v>9</v>
      </c>
      <c r="D28" s="71">
        <v>-4</v>
      </c>
      <c r="E28" s="71">
        <v>11</v>
      </c>
      <c r="F28" s="71">
        <v>107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85</v>
      </c>
      <c r="C29" s="71">
        <v>9</v>
      </c>
      <c r="D29" s="71">
        <v>-4</v>
      </c>
      <c r="E29" s="71">
        <v>11</v>
      </c>
      <c r="F29" s="71">
        <v>107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142</v>
      </c>
      <c r="C30" s="71">
        <v>-5</v>
      </c>
      <c r="D30" s="71">
        <v>43</v>
      </c>
      <c r="E30" s="71">
        <v>245</v>
      </c>
      <c r="F30" s="71">
        <v>210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142</v>
      </c>
      <c r="C31" s="74">
        <v>-4</v>
      </c>
      <c r="D31" s="74">
        <v>43</v>
      </c>
      <c r="E31" s="74">
        <v>236</v>
      </c>
      <c r="F31" s="74">
        <v>188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-1</v>
      </c>
      <c r="C32" s="71">
        <v>-2</v>
      </c>
      <c r="D32" s="71">
        <v>0</v>
      </c>
      <c r="E32" s="71">
        <v>9</v>
      </c>
      <c r="F32" s="71">
        <v>21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1912</v>
      </c>
      <c r="C33" s="71">
        <v>4041</v>
      </c>
      <c r="D33" s="71">
        <v>3916</v>
      </c>
      <c r="E33" s="71">
        <v>4042</v>
      </c>
      <c r="F33" s="71">
        <v>3168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257</v>
      </c>
      <c r="C34" s="71">
        <v>1818</v>
      </c>
      <c r="D34" s="71">
        <v>1634</v>
      </c>
      <c r="E34" s="71">
        <v>1489</v>
      </c>
      <c r="F34" s="71">
        <v>397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1655</v>
      </c>
      <c r="C35" s="71">
        <v>2223</v>
      </c>
      <c r="D35" s="71">
        <v>2282</v>
      </c>
      <c r="E35" s="71">
        <v>2553</v>
      </c>
      <c r="F35" s="71">
        <v>2770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1579</v>
      </c>
      <c r="C36" s="74">
        <v>2130</v>
      </c>
      <c r="D36" s="74">
        <v>2181</v>
      </c>
      <c r="E36" s="74">
        <v>2450</v>
      </c>
      <c r="F36" s="74">
        <v>2659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76</v>
      </c>
      <c r="C37" s="71">
        <v>93</v>
      </c>
      <c r="D37" s="71">
        <v>101</v>
      </c>
      <c r="E37" s="71">
        <v>103</v>
      </c>
      <c r="F37" s="71">
        <v>111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48</v>
      </c>
      <c r="C38" s="71">
        <v>57</v>
      </c>
      <c r="D38" s="71">
        <v>57</v>
      </c>
      <c r="E38" s="71">
        <v>57</v>
      </c>
      <c r="F38" s="71">
        <v>57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7.9500000000000001E-2</v>
      </c>
      <c r="C39" s="75">
        <f ca="1">OFFSET(INDIRECT($H$24),ROW()-2,COLUMN()-1,1,1)/100</f>
        <v>-1.8E-3</v>
      </c>
      <c r="D39" s="75">
        <f ca="1">OFFSET(INDIRECT($H$24),ROW()-2,COLUMN()-1,1,1)/100</f>
        <v>1.09E-2</v>
      </c>
      <c r="E39" s="75">
        <f ca="1">OFFSET(INDIRECT($H$24),ROW()-2,COLUMN()-1,1,1)/100</f>
        <v>6.1600000000000002E-2</v>
      </c>
      <c r="F39" s="75">
        <f ca="1">OFFSET(INDIRECT($H$24),ROW()-2,COLUMN()-1,1,1)/100</f>
        <v>5.8200000000000002E-2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9.4200000000000006E-2</v>
      </c>
      <c r="C40" s="75">
        <v>-2.0999999999999999E-3</v>
      </c>
      <c r="D40" s="75">
        <v>0.02</v>
      </c>
      <c r="E40" s="75">
        <v>0.1017</v>
      </c>
      <c r="F40" s="75">
        <v>7.3800000000000004E-2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1488</v>
      </c>
      <c r="C41" s="71">
        <v>-34</v>
      </c>
      <c r="D41" s="71">
        <v>376</v>
      </c>
      <c r="E41" s="71">
        <v>2053</v>
      </c>
      <c r="F41" s="71">
        <v>1667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18563</v>
      </c>
      <c r="C42" s="71">
        <v>20292</v>
      </c>
      <c r="D42" s="71">
        <v>20732</v>
      </c>
      <c r="E42" s="71">
        <v>23078</v>
      </c>
      <c r="F42" s="71">
        <v>25463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296</v>
      </c>
      <c r="C51" s="71">
        <f t="shared" ca="1" si="5"/>
        <v>311</v>
      </c>
      <c r="D51" s="71">
        <f t="shared" ca="1" si="5"/>
        <v>322</v>
      </c>
      <c r="E51" s="71">
        <f t="shared" ca="1" si="5"/>
        <v>322</v>
      </c>
      <c r="F51" s="71">
        <f t="shared" ca="1" si="5"/>
        <v>322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296</v>
      </c>
    </row>
    <row r="52" spans="1:11" x14ac:dyDescent="0.4">
      <c r="A52" s="72" t="str">
        <f t="shared" ca="1" si="5"/>
        <v>영업이익</v>
      </c>
      <c r="B52" s="71">
        <f t="shared" ca="1" si="5"/>
        <v>25</v>
      </c>
      <c r="C52" s="71">
        <f t="shared" ca="1" si="5"/>
        <v>34</v>
      </c>
      <c r="D52" s="71">
        <f t="shared" ca="1" si="5"/>
        <v>31</v>
      </c>
      <c r="E52" s="71">
        <f t="shared" ca="1" si="5"/>
        <v>31</v>
      </c>
      <c r="F52" s="71">
        <f t="shared" ca="1" si="5"/>
        <v>31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25</v>
      </c>
      <c r="C53" s="71">
        <f t="shared" ca="1" si="5"/>
        <v>34</v>
      </c>
      <c r="D53" s="71">
        <f t="shared" ca="1" si="5"/>
        <v>31</v>
      </c>
      <c r="E53" s="71">
        <f t="shared" ca="1" si="5"/>
        <v>31</v>
      </c>
      <c r="F53" s="71">
        <f t="shared" ca="1" si="5"/>
        <v>31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136</v>
      </c>
      <c r="C54" s="71">
        <f t="shared" ca="1" si="5"/>
        <v>42</v>
      </c>
      <c r="D54" s="71">
        <f t="shared" ca="1" si="5"/>
        <v>-9</v>
      </c>
      <c r="E54" s="71">
        <f t="shared" ca="1" si="5"/>
        <v>-9</v>
      </c>
      <c r="F54" s="71">
        <f t="shared" ca="1" si="5"/>
        <v>-9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125</v>
      </c>
      <c r="C55" s="71">
        <f t="shared" ca="1" si="5"/>
        <v>38</v>
      </c>
      <c r="D55" s="71">
        <f t="shared" ca="1" si="5"/>
        <v>-13</v>
      </c>
      <c r="E55" s="71">
        <f t="shared" ca="1" si="5"/>
        <v>-13</v>
      </c>
      <c r="F55" s="71">
        <f t="shared" ca="1" si="5"/>
        <v>-13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-1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10</v>
      </c>
      <c r="C56" s="71">
        <f t="shared" ca="1" si="5"/>
        <v>4</v>
      </c>
      <c r="D56" s="71">
        <f t="shared" ca="1" si="5"/>
        <v>4</v>
      </c>
      <c r="E56" s="71">
        <f t="shared" ca="1" si="5"/>
        <v>4</v>
      </c>
      <c r="F56" s="71">
        <f t="shared" ca="1" si="5"/>
        <v>4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3035</v>
      </c>
      <c r="C57" s="71">
        <f t="shared" ca="1" si="5"/>
        <v>3188</v>
      </c>
      <c r="D57" s="71">
        <f t="shared" ca="1" si="5"/>
        <v>3168</v>
      </c>
      <c r="E57" s="71">
        <f t="shared" ca="1" si="5"/>
        <v>3168</v>
      </c>
      <c r="F57" s="71">
        <f t="shared" ca="1" si="5"/>
        <v>3168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304</v>
      </c>
      <c r="C58" s="71">
        <f t="shared" ca="1" si="5"/>
        <v>413</v>
      </c>
      <c r="D58" s="71">
        <f t="shared" ca="1" si="5"/>
        <v>397</v>
      </c>
      <c r="E58" s="71">
        <f t="shared" ca="1" si="5"/>
        <v>397</v>
      </c>
      <c r="F58" s="71">
        <f t="shared" ca="1" si="5"/>
        <v>397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2731</v>
      </c>
      <c r="C59" s="71">
        <f t="shared" ca="1" si="5"/>
        <v>2775</v>
      </c>
      <c r="D59" s="71">
        <f t="shared" ca="1" si="5"/>
        <v>2770</v>
      </c>
      <c r="E59" s="71">
        <f t="shared" ca="1" si="5"/>
        <v>2770</v>
      </c>
      <c r="F59" s="71">
        <f t="shared" ca="1" si="5"/>
        <v>2770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2615</v>
      </c>
      <c r="C60" s="71">
        <f t="shared" ca="1" si="5"/>
        <v>2668</v>
      </c>
      <c r="D60" s="71">
        <f t="shared" ca="1" si="5"/>
        <v>2659</v>
      </c>
      <c r="E60" s="71">
        <f t="shared" ca="1" si="5"/>
        <v>2659</v>
      </c>
      <c r="F60" s="71">
        <f t="shared" ca="1" si="5"/>
        <v>2659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2637</v>
      </c>
    </row>
    <row r="61" spans="1:11" x14ac:dyDescent="0.4">
      <c r="A61" s="72" t="str">
        <f t="shared" ca="1" si="5"/>
        <v>  비지배주주지분</v>
      </c>
      <c r="B61" s="71">
        <f t="shared" ca="1" si="5"/>
        <v>115</v>
      </c>
      <c r="C61" s="71">
        <f t="shared" ca="1" si="5"/>
        <v>107</v>
      </c>
      <c r="D61" s="71">
        <f t="shared" ca="1" si="5"/>
        <v>111</v>
      </c>
      <c r="E61" s="71">
        <f t="shared" ca="1" si="5"/>
        <v>111</v>
      </c>
      <c r="F61" s="71">
        <f t="shared" ca="1" si="5"/>
        <v>111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-3.7921880925293893E-4</v>
      </c>
    </row>
    <row r="62" spans="1:11" x14ac:dyDescent="0.4">
      <c r="A62" s="72" t="str">
        <f t="shared" ca="1" si="5"/>
        <v>자본금</v>
      </c>
      <c r="B62" s="71">
        <f t="shared" ca="1" si="5"/>
        <v>57</v>
      </c>
      <c r="C62" s="71">
        <f t="shared" ca="1" si="5"/>
        <v>57</v>
      </c>
      <c r="D62" s="71">
        <f t="shared" ca="1" si="5"/>
        <v>57</v>
      </c>
      <c r="E62" s="71">
        <f t="shared" ca="1" si="5"/>
        <v>57</v>
      </c>
      <c r="F62" s="71">
        <f t="shared" ca="1" si="5"/>
        <v>57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-3.7921880925293893E-4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0.1017</v>
      </c>
      <c r="C85" s="75">
        <v>2.7000000000000001E-3</v>
      </c>
      <c r="D85" s="75">
        <v>7.7000000000000002E-3</v>
      </c>
    </row>
    <row r="86" spans="1:9" x14ac:dyDescent="0.4">
      <c r="A86" s="9" t="s">
        <v>74</v>
      </c>
      <c r="B86" s="183">
        <v>3.37</v>
      </c>
      <c r="C86" s="183">
        <v>554.91999999999996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8.0000000000000002E-3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9.4200000000000006E-2</v>
      </c>
      <c r="F2" s="174">
        <f>Data!C40</f>
        <v>-2.0999999999999999E-3</v>
      </c>
      <c r="G2" s="174">
        <f>Data!D40</f>
        <v>0.02</v>
      </c>
      <c r="H2" s="174">
        <f>Data!E40</f>
        <v>0.1017</v>
      </c>
      <c r="I2" s="174">
        <f>Data!F40</f>
        <v>7.3800000000000004E-2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-3.7921880925293893E-4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1579</v>
      </c>
      <c r="F3" s="76">
        <f>Data!C36</f>
        <v>2130</v>
      </c>
      <c r="G3" s="76">
        <f>Data!D36</f>
        <v>2181</v>
      </c>
      <c r="H3" s="76">
        <f>Data!E36</f>
        <v>2450</v>
      </c>
      <c r="I3" s="76">
        <f>Data!F36</f>
        <v>2659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2659</v>
      </c>
    </row>
    <row r="4" spans="1:13" x14ac:dyDescent="0.4">
      <c r="A4" s="15" t="s">
        <v>384</v>
      </c>
      <c r="B4" s="13">
        <f ca="1">Data!B7+Data!C7</f>
        <v>10552334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151293</v>
      </c>
      <c r="D5" s="1" t="s">
        <v>385</v>
      </c>
      <c r="E5" s="76">
        <f>Data!B31</f>
        <v>142</v>
      </c>
      <c r="F5" s="76">
        <f>Data!C31</f>
        <v>-4</v>
      </c>
      <c r="G5" s="76">
        <f>Data!D31</f>
        <v>43</v>
      </c>
      <c r="H5" s="76">
        <f>Data!E31</f>
        <v>236</v>
      </c>
      <c r="I5" s="76">
        <f>Data!F31</f>
        <v>188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-1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3.0547187460498042E-2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2659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1381.6503749403594</v>
      </c>
      <c r="C11" s="41">
        <f ca="1">C26</f>
        <v>13283.770104745858</v>
      </c>
      <c r="D11" s="42" t="s">
        <v>369</v>
      </c>
      <c r="E11" s="176">
        <f ca="1">B11/$I$5</f>
        <v>7.3492041220231883</v>
      </c>
    </row>
    <row r="12" spans="1:13" ht="16.5" customHeight="1" x14ac:dyDescent="0.4">
      <c r="A12" s="35" t="s">
        <v>370</v>
      </c>
      <c r="B12" s="36">
        <f ca="1">C38</f>
        <v>1836.3533437104365</v>
      </c>
      <c r="C12" s="37">
        <f ca="1">C39</f>
        <v>17655.47644423704</v>
      </c>
      <c r="D12" s="38" t="s">
        <v>394</v>
      </c>
      <c r="E12" s="177">
        <f ca="1">B12/$I$5</f>
        <v>9.7678369346299814</v>
      </c>
    </row>
    <row r="13" spans="1:13" ht="16.5" customHeight="1" x14ac:dyDescent="0.4">
      <c r="A13" s="43" t="s">
        <v>372</v>
      </c>
      <c r="B13" s="44">
        <f ca="1">C51</f>
        <v>2142.3672093515584</v>
      </c>
      <c r="C13" s="45">
        <f ca="1">C52</f>
        <v>20597.622962466528</v>
      </c>
      <c r="D13" s="46" t="s">
        <v>371</v>
      </c>
      <c r="E13" s="178">
        <f ca="1">B13/$I$5</f>
        <v>11.39557026250829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-7.2052812539501951E-2</v>
      </c>
      <c r="C18" s="19">
        <f t="shared" ref="C18:L18" ca="1" si="2">IF(YEAR(C16)&gt;$J$7,0,B18*$B$15)</f>
        <v>-7.2052812539501951E-2</v>
      </c>
      <c r="D18" s="19">
        <f t="shared" ca="1" si="2"/>
        <v>-7.2052812539501951E-2</v>
      </c>
      <c r="E18" s="19">
        <f t="shared" ca="1" si="2"/>
        <v>-7.2052812539501951E-2</v>
      </c>
      <c r="F18" s="19">
        <f t="shared" ca="1" si="2"/>
        <v>-7.2052812539501951E-2</v>
      </c>
      <c r="G18" s="19">
        <f t="shared" ca="1" si="2"/>
        <v>-7.2052812539501951E-2</v>
      </c>
      <c r="H18" s="19">
        <f t="shared" ca="1" si="2"/>
        <v>-7.2052812539501951E-2</v>
      </c>
      <c r="I18" s="19">
        <f t="shared" ca="1" si="2"/>
        <v>-7.2052812539501951E-2</v>
      </c>
      <c r="J18" s="19">
        <f t="shared" ca="1" si="2"/>
        <v>-7.2052812539501951E-2</v>
      </c>
      <c r="K18" s="19">
        <f t="shared" ca="1" si="2"/>
        <v>-7.2052812539501951E-2</v>
      </c>
      <c r="L18" s="19">
        <f t="shared" ca="1" si="2"/>
        <v>-7.2052812539501951E-2</v>
      </c>
    </row>
    <row r="19" spans="1:12" x14ac:dyDescent="0.4">
      <c r="A19" s="15" t="s">
        <v>249</v>
      </c>
      <c r="B19" s="19">
        <f t="shared" ref="B19:L19" ca="1" si="3">B17+B18</f>
        <v>3.0547187460498046E-2</v>
      </c>
      <c r="C19" s="19">
        <f t="shared" ca="1" si="3"/>
        <v>3.0547187460498046E-2</v>
      </c>
      <c r="D19" s="19">
        <f t="shared" ca="1" si="3"/>
        <v>3.0547187460498046E-2</v>
      </c>
      <c r="E19" s="19">
        <f t="shared" ca="1" si="3"/>
        <v>3.0547187460498046E-2</v>
      </c>
      <c r="F19" s="19">
        <f t="shared" ca="1" si="3"/>
        <v>3.0547187460498046E-2</v>
      </c>
      <c r="G19" s="19">
        <f t="shared" ca="1" si="3"/>
        <v>3.0547187460498046E-2</v>
      </c>
      <c r="H19" s="19">
        <f t="shared" ca="1" si="3"/>
        <v>3.0547187460498046E-2</v>
      </c>
      <c r="I19" s="19">
        <f t="shared" ca="1" si="3"/>
        <v>3.0547187460498046E-2</v>
      </c>
      <c r="J19" s="19">
        <f t="shared" ca="1" si="3"/>
        <v>3.0547187460498046E-2</v>
      </c>
      <c r="K19" s="19">
        <f t="shared" ca="1" si="3"/>
        <v>3.0547187460498046E-2</v>
      </c>
      <c r="L19" s="19">
        <f t="shared" ca="1" si="3"/>
        <v>3.0547187460498046E-2</v>
      </c>
    </row>
    <row r="20" spans="1:12" x14ac:dyDescent="0.4">
      <c r="A20" s="15" t="s">
        <v>385</v>
      </c>
      <c r="B20" s="20"/>
      <c r="C20" s="20">
        <f t="shared" ref="C20:L20" ca="1" si="4">B21*C19</f>
        <v>81.224971457464306</v>
      </c>
      <c r="D20" s="20">
        <f t="shared" ca="1" si="4"/>
        <v>83.706165887049067</v>
      </c>
      <c r="E20" s="20">
        <f t="shared" ca="1" si="4"/>
        <v>86.263153828000299</v>
      </c>
      <c r="F20" s="20">
        <f t="shared" ca="1" si="4"/>
        <v>88.898250558917994</v>
      </c>
      <c r="G20" s="20">
        <f t="shared" ca="1" si="4"/>
        <v>91.613842083651591</v>
      </c>
      <c r="H20" s="20">
        <f t="shared" ca="1" si="4"/>
        <v>94.412387291757355</v>
      </c>
      <c r="I20" s="20">
        <f t="shared" ca="1" si="4"/>
        <v>97.296420184951813</v>
      </c>
      <c r="J20" s="20">
        <f t="shared" ca="1" si="4"/>
        <v>100.26855217157691</v>
      </c>
      <c r="K20" s="20">
        <f t="shared" ca="1" si="4"/>
        <v>103.33147443115482</v>
      </c>
      <c r="L20" s="20">
        <f t="shared" ca="1" si="4"/>
        <v>106.48796035117296</v>
      </c>
    </row>
    <row r="21" spans="1:12" x14ac:dyDescent="0.4">
      <c r="A21" s="15" t="s">
        <v>383</v>
      </c>
      <c r="B21" s="20">
        <f ca="1">$F$8</f>
        <v>2659</v>
      </c>
      <c r="C21" s="20">
        <f t="shared" ref="C21:L21" ca="1" si="5">B21+C20</f>
        <v>2740.2249714574641</v>
      </c>
      <c r="D21" s="20">
        <f t="shared" ca="1" si="5"/>
        <v>2823.931137344513</v>
      </c>
      <c r="E21" s="20">
        <f t="shared" ca="1" si="5"/>
        <v>2910.1942911725132</v>
      </c>
      <c r="F21" s="20">
        <f t="shared" ca="1" si="5"/>
        <v>2999.0925417314311</v>
      </c>
      <c r="G21" s="20">
        <f t="shared" ca="1" si="5"/>
        <v>3090.7063838150825</v>
      </c>
      <c r="H21" s="20">
        <f t="shared" ca="1" si="5"/>
        <v>3185.1187711068401</v>
      </c>
      <c r="I21" s="20">
        <f t="shared" ca="1" si="5"/>
        <v>3282.4151912917919</v>
      </c>
      <c r="J21" s="20">
        <f t="shared" ca="1" si="5"/>
        <v>3382.683743463369</v>
      </c>
      <c r="K21" s="20">
        <f t="shared" ca="1" si="5"/>
        <v>3486.0152178945236</v>
      </c>
      <c r="L21" s="20">
        <f t="shared" ca="1" si="5"/>
        <v>3592.5031782456967</v>
      </c>
    </row>
    <row r="22" spans="1:12" x14ac:dyDescent="0.4">
      <c r="A22" s="15" t="s">
        <v>398</v>
      </c>
      <c r="B22" s="20"/>
      <c r="C22" s="20">
        <f t="shared" ref="C22:L22" ca="1" si="6">C20-B21*C17</f>
        <v>-191.58842854253569</v>
      </c>
      <c r="D22" s="20">
        <f t="shared" ca="1" si="6"/>
        <v>-197.44091618448675</v>
      </c>
      <c r="E22" s="20">
        <f t="shared" ca="1" si="6"/>
        <v>-203.4721808635467</v>
      </c>
      <c r="F22" s="20">
        <f t="shared" ca="1" si="6"/>
        <v>-209.68768371538187</v>
      </c>
      <c r="G22" s="20">
        <f t="shared" ca="1" si="6"/>
        <v>-216.09305269799319</v>
      </c>
      <c r="H22" s="20">
        <f t="shared" ca="1" si="6"/>
        <v>-222.69408768767011</v>
      </c>
      <c r="I22" s="20">
        <f t="shared" ca="1" si="6"/>
        <v>-229.49676573060995</v>
      </c>
      <c r="J22" s="20">
        <f t="shared" ca="1" si="6"/>
        <v>-236.50724645496092</v>
      </c>
      <c r="K22" s="20">
        <f t="shared" ca="1" si="6"/>
        <v>-243.73187764818684</v>
      </c>
      <c r="L22" s="20">
        <f t="shared" ca="1" si="6"/>
        <v>-251.17720100480517</v>
      </c>
    </row>
    <row r="23" spans="1:12" x14ac:dyDescent="0.4">
      <c r="A23" s="15" t="s">
        <v>399</v>
      </c>
      <c r="B23" s="62">
        <f ca="1">NPV($B$3,C22:L22)</f>
        <v>-1306.2508192459679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1352.7491807540321</v>
      </c>
      <c r="C25" s="63">
        <f ca="1">B25/(1+$B$3)^($H$8/365)</f>
        <v>1381.6503749403594</v>
      </c>
    </row>
    <row r="26" spans="1:12" x14ac:dyDescent="0.4">
      <c r="A26" s="15" t="s">
        <v>363</v>
      </c>
      <c r="B26" s="23">
        <f ca="1">B25*100000000/($B$4-$B$5)</f>
        <v>13005.901820346946</v>
      </c>
      <c r="C26" s="23">
        <f ca="1">B26/(1+$B$3)^($H$8/365)</f>
        <v>13283.770104745858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-7.2052812539501951E-2</v>
      </c>
      <c r="C31" s="19">
        <f t="shared" ref="C31:L31" ca="1" si="9">IF(YEAR(C16)&gt;$J$7,0,B31*$B$28)</f>
        <v>-6.4847531285551763E-2</v>
      </c>
      <c r="D31" s="19">
        <f t="shared" ca="1" si="9"/>
        <v>-5.8362778156996586E-2</v>
      </c>
      <c r="E31" s="19">
        <f t="shared" ca="1" si="9"/>
        <v>-5.2526500341296932E-2</v>
      </c>
      <c r="F31" s="19">
        <f t="shared" ca="1" si="9"/>
        <v>-4.7273850307167242E-2</v>
      </c>
      <c r="G31" s="19">
        <f t="shared" ca="1" si="9"/>
        <v>-4.2546465276450521E-2</v>
      </c>
      <c r="H31" s="19">
        <f t="shared" ca="1" si="9"/>
        <v>-3.8291818748805467E-2</v>
      </c>
      <c r="I31" s="19">
        <f t="shared" ca="1" si="9"/>
        <v>-3.4462636873924923E-2</v>
      </c>
      <c r="J31" s="19">
        <f t="shared" ca="1" si="9"/>
        <v>-3.1016373186532432E-2</v>
      </c>
      <c r="K31" s="19">
        <f t="shared" ca="1" si="9"/>
        <v>-2.7914735867879188E-2</v>
      </c>
      <c r="L31" s="19">
        <f t="shared" ca="1" si="9"/>
        <v>-2.5123262281091269E-2</v>
      </c>
    </row>
    <row r="32" spans="1:12" x14ac:dyDescent="0.4">
      <c r="A32" s="15" t="s">
        <v>249</v>
      </c>
      <c r="B32" s="19">
        <f t="shared" ref="B32:L32" ca="1" si="10">B30+B31</f>
        <v>3.0547187460498046E-2</v>
      </c>
      <c r="C32" s="19">
        <f t="shared" ca="1" si="10"/>
        <v>3.7752468714448234E-2</v>
      </c>
      <c r="D32" s="19">
        <f t="shared" ca="1" si="10"/>
        <v>4.423722184300341E-2</v>
      </c>
      <c r="E32" s="19">
        <f t="shared" ca="1" si="10"/>
        <v>5.0073499658703065E-2</v>
      </c>
      <c r="F32" s="19">
        <f t="shared" ca="1" si="10"/>
        <v>5.5326149692832755E-2</v>
      </c>
      <c r="G32" s="19">
        <f t="shared" ca="1" si="10"/>
        <v>6.0053534723549476E-2</v>
      </c>
      <c r="H32" s="19">
        <f t="shared" ca="1" si="10"/>
        <v>6.4308181251194529E-2</v>
      </c>
      <c r="I32" s="19">
        <f t="shared" ca="1" si="10"/>
        <v>6.8137363126075073E-2</v>
      </c>
      <c r="J32" s="19">
        <f t="shared" ca="1" si="10"/>
        <v>7.1583626813467569E-2</v>
      </c>
      <c r="K32" s="19">
        <f t="shared" ca="1" si="10"/>
        <v>7.4685264132120815E-2</v>
      </c>
      <c r="L32" s="19">
        <f t="shared" ca="1" si="10"/>
        <v>7.7476737718908728E-2</v>
      </c>
    </row>
    <row r="33" spans="1:12" x14ac:dyDescent="0.4">
      <c r="A33" s="15" t="s">
        <v>385</v>
      </c>
      <c r="B33" s="20"/>
      <c r="C33" s="20">
        <f t="shared" ref="C33:L33" ca="1" si="11">B34*C32</f>
        <v>100.38381431171786</v>
      </c>
      <c r="D33" s="20">
        <f t="shared" ca="1" si="11"/>
        <v>122.06747394370039</v>
      </c>
      <c r="E33" s="20">
        <f t="shared" ca="1" si="11"/>
        <v>144.28435009902719</v>
      </c>
      <c r="F33" s="20">
        <f t="shared" ca="1" si="11"/>
        <v>167.4023028585369</v>
      </c>
      <c r="G33" s="20">
        <f t="shared" ca="1" si="11"/>
        <v>191.7592202297171</v>
      </c>
      <c r="H33" s="20">
        <f t="shared" ca="1" si="11"/>
        <v>217.67658017471098</v>
      </c>
      <c r="I33" s="20">
        <f t="shared" ca="1" si="11"/>
        <v>245.46987522104843</v>
      </c>
      <c r="J33" s="20">
        <f t="shared" ca="1" si="11"/>
        <v>275.4569182297102</v>
      </c>
      <c r="K33" s="20">
        <f t="shared" ca="1" si="11"/>
        <v>307.96472661050768</v>
      </c>
      <c r="L33" s="20">
        <f t="shared" ca="1" si="11"/>
        <v>343.33547178953404</v>
      </c>
    </row>
    <row r="34" spans="1:12" x14ac:dyDescent="0.4">
      <c r="A34" s="15" t="s">
        <v>383</v>
      </c>
      <c r="B34" s="20">
        <f ca="1">$F$8</f>
        <v>2659</v>
      </c>
      <c r="C34" s="20">
        <f t="shared" ref="C34:L34" ca="1" si="12">B34+C33</f>
        <v>2759.3838143117177</v>
      </c>
      <c r="D34" s="20">
        <f t="shared" ca="1" si="12"/>
        <v>2881.4512882554181</v>
      </c>
      <c r="E34" s="20">
        <f t="shared" ca="1" si="12"/>
        <v>3025.7356383544452</v>
      </c>
      <c r="F34" s="20">
        <f t="shared" ca="1" si="12"/>
        <v>3193.1379412129822</v>
      </c>
      <c r="G34" s="20">
        <f t="shared" ca="1" si="12"/>
        <v>3384.8971614426991</v>
      </c>
      <c r="H34" s="20">
        <f t="shared" ca="1" si="12"/>
        <v>3602.5737416174102</v>
      </c>
      <c r="I34" s="20">
        <f t="shared" ca="1" si="12"/>
        <v>3848.0436168384585</v>
      </c>
      <c r="J34" s="20">
        <f t="shared" ca="1" si="12"/>
        <v>4123.5005350681686</v>
      </c>
      <c r="K34" s="20">
        <f t="shared" ca="1" si="12"/>
        <v>4431.4652616786761</v>
      </c>
      <c r="L34" s="20">
        <f t="shared" ca="1" si="12"/>
        <v>4774.8007334682097</v>
      </c>
    </row>
    <row r="35" spans="1:12" x14ac:dyDescent="0.4">
      <c r="A35" s="15" t="s">
        <v>398</v>
      </c>
      <c r="B35" s="20"/>
      <c r="C35" s="20">
        <f t="shared" ref="C35:L35" ca="1" si="13">C33-B34*C30</f>
        <v>-172.42958568828215</v>
      </c>
      <c r="D35" s="20">
        <f t="shared" ca="1" si="13"/>
        <v>-161.04530540468181</v>
      </c>
      <c r="E35" s="20">
        <f t="shared" ca="1" si="13"/>
        <v>-151.35255207597871</v>
      </c>
      <c r="F35" s="20">
        <f t="shared" ca="1" si="13"/>
        <v>-143.03817363662918</v>
      </c>
      <c r="G35" s="20">
        <f t="shared" ca="1" si="13"/>
        <v>-135.85673253873486</v>
      </c>
      <c r="H35" s="20">
        <f t="shared" ca="1" si="13"/>
        <v>-129.61386858930996</v>
      </c>
      <c r="I35" s="20">
        <f t="shared" ca="1" si="13"/>
        <v>-124.15419066889785</v>
      </c>
      <c r="J35" s="20">
        <f t="shared" ca="1" si="13"/>
        <v>-119.35235685791565</v>
      </c>
      <c r="K35" s="20">
        <f t="shared" ca="1" si="13"/>
        <v>-115.10642828748638</v>
      </c>
      <c r="L35" s="20">
        <f t="shared" ca="1" si="13"/>
        <v>-111.33286405869814</v>
      </c>
    </row>
    <row r="36" spans="1:12" x14ac:dyDescent="0.4">
      <c r="A36" s="15" t="s">
        <v>399</v>
      </c>
      <c r="B36" s="62">
        <f ca="1">NPV($B$3,C35:L35)</f>
        <v>-861.05927177021863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1797.9407282297814</v>
      </c>
      <c r="C38" s="63">
        <f ca="1">B38/(1+$B$3)^($H$8/365)</f>
        <v>1836.3533437104365</v>
      </c>
    </row>
    <row r="39" spans="1:12" x14ac:dyDescent="0.4">
      <c r="A39" s="15" t="s">
        <v>363</v>
      </c>
      <c r="B39" s="23">
        <f ca="1">B38*100000000/($B$4-$B$5)</f>
        <v>17286.161339329221</v>
      </c>
      <c r="C39" s="23">
        <f ca="1">B39/(1+$B$3)^($H$8/365)</f>
        <v>17655.47644423704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-7.2052812539501951E-2</v>
      </c>
      <c r="C44" s="19">
        <f t="shared" ref="C44:L44" ca="1" si="16">IF(YEAR(C16)&gt;$J$7,0,B44*$B$41)</f>
        <v>-5.7642250031601561E-2</v>
      </c>
      <c r="D44" s="19">
        <f t="shared" ca="1" si="16"/>
        <v>-4.6113800025281253E-2</v>
      </c>
      <c r="E44" s="19">
        <f t="shared" ca="1" si="16"/>
        <v>-3.6891040020225002E-2</v>
      </c>
      <c r="F44" s="19">
        <f t="shared" ca="1" si="16"/>
        <v>-2.9512832016180005E-2</v>
      </c>
      <c r="G44" s="19">
        <f t="shared" ca="1" si="16"/>
        <v>-2.3610265612944006E-2</v>
      </c>
      <c r="H44" s="19">
        <f t="shared" ca="1" si="16"/>
        <v>-1.8888212490355206E-2</v>
      </c>
      <c r="I44" s="19">
        <f t="shared" ca="1" si="16"/>
        <v>-1.5110569992284165E-2</v>
      </c>
      <c r="J44" s="19">
        <f t="shared" ca="1" si="16"/>
        <v>-1.2088455993827333E-2</v>
      </c>
      <c r="K44" s="19">
        <f t="shared" ca="1" si="16"/>
        <v>-9.6707647950618671E-3</v>
      </c>
      <c r="L44" s="19">
        <f t="shared" ca="1" si="16"/>
        <v>-7.7366118360494944E-3</v>
      </c>
    </row>
    <row r="45" spans="1:12" x14ac:dyDescent="0.4">
      <c r="A45" s="15" t="s">
        <v>249</v>
      </c>
      <c r="B45" s="19">
        <f t="shared" ref="B45:L45" ca="1" si="17">B43+B44</f>
        <v>3.0547187460498046E-2</v>
      </c>
      <c r="C45" s="19">
        <f t="shared" ca="1" si="17"/>
        <v>4.4957749968398436E-2</v>
      </c>
      <c r="D45" s="19">
        <f t="shared" ca="1" si="17"/>
        <v>5.6486199974718744E-2</v>
      </c>
      <c r="E45" s="19">
        <f t="shared" ca="1" si="17"/>
        <v>6.5708959979774995E-2</v>
      </c>
      <c r="F45" s="19">
        <f t="shared" ca="1" si="17"/>
        <v>7.3087167983819992E-2</v>
      </c>
      <c r="G45" s="19">
        <f t="shared" ca="1" si="17"/>
        <v>7.898973438705599E-2</v>
      </c>
      <c r="H45" s="19">
        <f t="shared" ca="1" si="17"/>
        <v>8.3711787509644794E-2</v>
      </c>
      <c r="I45" s="19">
        <f t="shared" ca="1" si="17"/>
        <v>8.7489430007715835E-2</v>
      </c>
      <c r="J45" s="19">
        <f t="shared" ca="1" si="17"/>
        <v>9.0511544006172659E-2</v>
      </c>
      <c r="K45" s="19">
        <f t="shared" ca="1" si="17"/>
        <v>9.2929235204938135E-2</v>
      </c>
      <c r="L45" s="19">
        <f t="shared" ca="1" si="17"/>
        <v>9.4863388163950499E-2</v>
      </c>
    </row>
    <row r="46" spans="1:12" x14ac:dyDescent="0.4">
      <c r="A46" s="15" t="s">
        <v>385</v>
      </c>
      <c r="B46" s="20"/>
      <c r="C46" s="20">
        <f t="shared" ref="C46:L46" ca="1" si="18">B47*C45</f>
        <v>119.54265716597145</v>
      </c>
      <c r="D46" s="20">
        <f t="shared" ca="1" si="18"/>
        <v>156.94931617096344</v>
      </c>
      <c r="E46" s="20">
        <f t="shared" ca="1" si="18"/>
        <v>192.88812459694736</v>
      </c>
      <c r="F46" s="20">
        <f t="shared" ca="1" si="18"/>
        <v>228.64444173493288</v>
      </c>
      <c r="G46" s="20">
        <f t="shared" ca="1" si="18"/>
        <v>265.17047671926861</v>
      </c>
      <c r="H46" s="20">
        <f t="shared" ca="1" si="18"/>
        <v>303.22041953037359</v>
      </c>
      <c r="I46" s="20">
        <f t="shared" ca="1" si="18"/>
        <v>343.43235903199519</v>
      </c>
      <c r="J46" s="20">
        <f t="shared" ca="1" si="18"/>
        <v>386.38000504831098</v>
      </c>
      <c r="K46" s="20">
        <f t="shared" ca="1" si="18"/>
        <v>432.60675915865181</v>
      </c>
      <c r="L46" s="20">
        <f t="shared" ca="1" si="18"/>
        <v>482.64922469931184</v>
      </c>
    </row>
    <row r="47" spans="1:12" x14ac:dyDescent="0.4">
      <c r="A47" s="15" t="s">
        <v>383</v>
      </c>
      <c r="B47" s="20">
        <f ca="1">$F$8</f>
        <v>2659</v>
      </c>
      <c r="C47" s="20">
        <f t="shared" ref="C47:L47" ca="1" si="19">B47+C46</f>
        <v>2778.5426571659714</v>
      </c>
      <c r="D47" s="20">
        <f t="shared" ca="1" si="19"/>
        <v>2935.4919733369347</v>
      </c>
      <c r="E47" s="20">
        <f t="shared" ca="1" si="19"/>
        <v>3128.3800979338821</v>
      </c>
      <c r="F47" s="20">
        <f t="shared" ca="1" si="19"/>
        <v>3357.0245396688151</v>
      </c>
      <c r="G47" s="20">
        <f t="shared" ca="1" si="19"/>
        <v>3622.1950163880838</v>
      </c>
      <c r="H47" s="20">
        <f t="shared" ca="1" si="19"/>
        <v>3925.4154359184572</v>
      </c>
      <c r="I47" s="20">
        <f t="shared" ca="1" si="19"/>
        <v>4268.8477949504522</v>
      </c>
      <c r="J47" s="20">
        <f t="shared" ca="1" si="19"/>
        <v>4655.2277999987637</v>
      </c>
      <c r="K47" s="20">
        <f t="shared" ca="1" si="19"/>
        <v>5087.8345591574152</v>
      </c>
      <c r="L47" s="20">
        <f t="shared" ca="1" si="19"/>
        <v>5570.4837838567273</v>
      </c>
    </row>
    <row r="48" spans="1:12" x14ac:dyDescent="0.4">
      <c r="A48" s="15" t="s">
        <v>398</v>
      </c>
      <c r="B48" s="20"/>
      <c r="C48" s="20">
        <f t="shared" ref="C48:L48" ca="1" si="20">C46-B47*C43</f>
        <v>-153.27074283402857</v>
      </c>
      <c r="D48" s="20">
        <f t="shared" ca="1" si="20"/>
        <v>-128.12916045426519</v>
      </c>
      <c r="E48" s="20">
        <f t="shared" ca="1" si="20"/>
        <v>-108.29335186742213</v>
      </c>
      <c r="F48" s="20">
        <f t="shared" ca="1" si="20"/>
        <v>-92.327356313083413</v>
      </c>
      <c r="G48" s="20">
        <f t="shared" ca="1" si="20"/>
        <v>-79.260241050751802</v>
      </c>
      <c r="H48" s="20">
        <f t="shared" ca="1" si="20"/>
        <v>-68.416789151043815</v>
      </c>
      <c r="I48" s="20">
        <f t="shared" ca="1" si="20"/>
        <v>-59.315264693238532</v>
      </c>
      <c r="J48" s="20">
        <f t="shared" ca="1" si="20"/>
        <v>-51.603778713605379</v>
      </c>
      <c r="K48" s="20">
        <f t="shared" ca="1" si="20"/>
        <v>-45.019613121221312</v>
      </c>
      <c r="L48" s="20">
        <f t="shared" ca="1" si="20"/>
        <v>-39.362601070238952</v>
      </c>
    </row>
    <row r="49" spans="1:19" x14ac:dyDescent="0.4">
      <c r="A49" s="15" t="s">
        <v>399</v>
      </c>
      <c r="B49" s="62">
        <f ca="1">NPV($B$3,C48:L48)</f>
        <v>-561.44656688221778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2097.5534331177823</v>
      </c>
      <c r="C51" s="63">
        <f ca="1">B51/(1+$B$3)^($H$8/365)</f>
        <v>2142.3672093515584</v>
      </c>
    </row>
    <row r="52" spans="1:19" x14ac:dyDescent="0.4">
      <c r="A52" s="15" t="s">
        <v>363</v>
      </c>
      <c r="B52" s="23">
        <f ca="1">B51*100000000/($B$4-$B$5)</f>
        <v>20166.764395196427</v>
      </c>
      <c r="C52" s="23">
        <f ca="1">B52/(1+$B$3)^($H$8/365)</f>
        <v>20597.622962466528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142</v>
      </c>
      <c r="C56" s="76">
        <f t="shared" si="22"/>
        <v>-4</v>
      </c>
      <c r="D56" s="76">
        <f t="shared" si="22"/>
        <v>43</v>
      </c>
      <c r="E56" s="76">
        <f t="shared" si="22"/>
        <v>236</v>
      </c>
      <c r="F56" s="76">
        <f t="shared" si="22"/>
        <v>188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81.224971457464306</v>
      </c>
      <c r="K56" s="179">
        <f t="shared" ca="1" si="24"/>
        <v>83.706165887049067</v>
      </c>
      <c r="L56" s="179">
        <f t="shared" ca="1" si="24"/>
        <v>86.263153828000299</v>
      </c>
      <c r="M56" s="179">
        <f t="shared" ca="1" si="24"/>
        <v>88.898250558917994</v>
      </c>
      <c r="N56" s="179">
        <f t="shared" ca="1" si="24"/>
        <v>91.613842083651591</v>
      </c>
      <c r="O56" s="179">
        <f t="shared" ca="1" si="24"/>
        <v>94.412387291757355</v>
      </c>
      <c r="P56" s="179">
        <f t="shared" ca="1" si="24"/>
        <v>97.296420184951813</v>
      </c>
      <c r="Q56" s="179">
        <f t="shared" ca="1" si="24"/>
        <v>100.26855217157691</v>
      </c>
      <c r="R56" s="179">
        <f t="shared" ca="1" si="24"/>
        <v>103.33147443115482</v>
      </c>
      <c r="S56" s="179">
        <f t="shared" ca="1" si="24"/>
        <v>106.48796035117296</v>
      </c>
    </row>
    <row r="57" spans="1:19" x14ac:dyDescent="0.4">
      <c r="A57" s="1" t="s">
        <v>403</v>
      </c>
      <c r="B57" s="76">
        <f t="shared" ref="B57:I57" si="25">E5</f>
        <v>142</v>
      </c>
      <c r="C57" s="76">
        <f t="shared" si="25"/>
        <v>-4</v>
      </c>
      <c r="D57" s="76">
        <f t="shared" si="25"/>
        <v>43</v>
      </c>
      <c r="E57" s="76">
        <f t="shared" si="25"/>
        <v>236</v>
      </c>
      <c r="F57" s="76">
        <f t="shared" si="25"/>
        <v>188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100.38381431171786</v>
      </c>
      <c r="K57" s="179">
        <f t="shared" ca="1" si="26"/>
        <v>122.06747394370039</v>
      </c>
      <c r="L57" s="179">
        <f t="shared" ca="1" si="26"/>
        <v>144.28435009902719</v>
      </c>
      <c r="M57" s="179">
        <f t="shared" ca="1" si="26"/>
        <v>167.4023028585369</v>
      </c>
      <c r="N57" s="179">
        <f t="shared" ca="1" si="26"/>
        <v>191.7592202297171</v>
      </c>
      <c r="O57" s="179">
        <f t="shared" ca="1" si="26"/>
        <v>217.67658017471098</v>
      </c>
      <c r="P57" s="179">
        <f t="shared" ca="1" si="26"/>
        <v>245.46987522104843</v>
      </c>
      <c r="Q57" s="179">
        <f t="shared" ca="1" si="26"/>
        <v>275.4569182297102</v>
      </c>
      <c r="R57" s="179">
        <f t="shared" ca="1" si="26"/>
        <v>307.96472661050768</v>
      </c>
      <c r="S57" s="179">
        <f t="shared" ca="1" si="26"/>
        <v>343.33547178953404</v>
      </c>
    </row>
    <row r="58" spans="1:19" x14ac:dyDescent="0.4">
      <c r="A58" s="1" t="s">
        <v>404</v>
      </c>
      <c r="B58" s="76">
        <f t="shared" ref="B58:I58" si="27">E5</f>
        <v>142</v>
      </c>
      <c r="C58" s="76">
        <f t="shared" si="27"/>
        <v>-4</v>
      </c>
      <c r="D58" s="76">
        <f t="shared" si="27"/>
        <v>43</v>
      </c>
      <c r="E58" s="76">
        <f t="shared" si="27"/>
        <v>236</v>
      </c>
      <c r="F58" s="76">
        <f t="shared" si="27"/>
        <v>188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119.54265716597145</v>
      </c>
      <c r="K58" s="179">
        <f t="shared" ca="1" si="28"/>
        <v>156.94931617096344</v>
      </c>
      <c r="L58" s="179">
        <f t="shared" ca="1" si="28"/>
        <v>192.88812459694736</v>
      </c>
      <c r="M58" s="179">
        <f t="shared" ca="1" si="28"/>
        <v>228.64444173493288</v>
      </c>
      <c r="N58" s="179">
        <f t="shared" ca="1" si="28"/>
        <v>265.17047671926861</v>
      </c>
      <c r="O58" s="179">
        <f t="shared" ca="1" si="28"/>
        <v>303.22041953037359</v>
      </c>
      <c r="P58" s="179">
        <f t="shared" ca="1" si="28"/>
        <v>343.43235903199519</v>
      </c>
      <c r="Q58" s="179">
        <f t="shared" ca="1" si="28"/>
        <v>386.38000504831098</v>
      </c>
      <c r="R58" s="179">
        <f t="shared" ca="1" si="28"/>
        <v>432.60675915865181</v>
      </c>
      <c r="S58" s="179">
        <f t="shared" ca="1" si="28"/>
        <v>482.64922469931184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142</v>
      </c>
      <c r="C62" s="76">
        <f t="shared" si="30"/>
        <v>-4</v>
      </c>
      <c r="D62" s="76">
        <f t="shared" si="30"/>
        <v>43</v>
      </c>
      <c r="E62" s="76">
        <f t="shared" si="30"/>
        <v>236</v>
      </c>
      <c r="F62" s="76">
        <f t="shared" si="30"/>
        <v>188</v>
      </c>
      <c r="G62" s="76">
        <f t="shared" ca="1" si="30"/>
        <v>81.224971457464306</v>
      </c>
      <c r="H62" s="76">
        <f t="shared" ca="1" si="30"/>
        <v>83.706165887049067</v>
      </c>
      <c r="I62" s="76">
        <f t="shared" ca="1" si="30"/>
        <v>86.263153828000299</v>
      </c>
      <c r="J62" s="76">
        <f t="shared" ca="1" si="30"/>
        <v>88.898250558917994</v>
      </c>
      <c r="K62" s="76">
        <f t="shared" ca="1" si="30"/>
        <v>91.613842083651591</v>
      </c>
      <c r="L62" s="76">
        <f t="shared" ca="1" si="30"/>
        <v>94.412387291757355</v>
      </c>
      <c r="M62" s="76">
        <f t="shared" ca="1" si="30"/>
        <v>97.296420184951813</v>
      </c>
      <c r="N62" s="76">
        <f t="shared" ca="1" si="30"/>
        <v>100.26855217157691</v>
      </c>
      <c r="O62" s="76">
        <f t="shared" ca="1" si="30"/>
        <v>103.33147443115482</v>
      </c>
      <c r="P62" s="76">
        <f t="shared" ca="1" si="30"/>
        <v>106.48796035117296</v>
      </c>
    </row>
    <row r="63" spans="1:19" x14ac:dyDescent="0.4">
      <c r="A63" s="1" t="s">
        <v>403</v>
      </c>
      <c r="B63" s="76">
        <f t="shared" ref="B63:P63" si="31">HLOOKUP(B$60,$B$54:$S$58,4,FALSE)</f>
        <v>142</v>
      </c>
      <c r="C63" s="76">
        <f t="shared" si="31"/>
        <v>-4</v>
      </c>
      <c r="D63" s="76">
        <f t="shared" si="31"/>
        <v>43</v>
      </c>
      <c r="E63" s="76">
        <f t="shared" si="31"/>
        <v>236</v>
      </c>
      <c r="F63" s="76">
        <f t="shared" si="31"/>
        <v>188</v>
      </c>
      <c r="G63" s="76">
        <f t="shared" ca="1" si="31"/>
        <v>100.38381431171786</v>
      </c>
      <c r="H63" s="76">
        <f t="shared" ca="1" si="31"/>
        <v>122.06747394370039</v>
      </c>
      <c r="I63" s="76">
        <f t="shared" ca="1" si="31"/>
        <v>144.28435009902719</v>
      </c>
      <c r="J63" s="76">
        <f t="shared" ca="1" si="31"/>
        <v>167.4023028585369</v>
      </c>
      <c r="K63" s="76">
        <f t="shared" ca="1" si="31"/>
        <v>191.7592202297171</v>
      </c>
      <c r="L63" s="76">
        <f t="shared" ca="1" si="31"/>
        <v>217.67658017471098</v>
      </c>
      <c r="M63" s="76">
        <f t="shared" ca="1" si="31"/>
        <v>245.46987522104843</v>
      </c>
      <c r="N63" s="76">
        <f t="shared" ca="1" si="31"/>
        <v>275.4569182297102</v>
      </c>
      <c r="O63" s="76">
        <f t="shared" ca="1" si="31"/>
        <v>307.96472661050768</v>
      </c>
      <c r="P63" s="76">
        <f t="shared" ca="1" si="31"/>
        <v>343.33547178953404</v>
      </c>
    </row>
    <row r="64" spans="1:19" x14ac:dyDescent="0.4">
      <c r="A64" s="1" t="s">
        <v>404</v>
      </c>
      <c r="B64" s="76">
        <f t="shared" ref="B64:P64" si="32">HLOOKUP(B$60,$B$54:$S$58,5,FALSE)</f>
        <v>142</v>
      </c>
      <c r="C64" s="76">
        <f t="shared" si="32"/>
        <v>-4</v>
      </c>
      <c r="D64" s="76">
        <f t="shared" si="32"/>
        <v>43</v>
      </c>
      <c r="E64" s="76">
        <f t="shared" si="32"/>
        <v>236</v>
      </c>
      <c r="F64" s="76">
        <f t="shared" si="32"/>
        <v>188</v>
      </c>
      <c r="G64" s="76">
        <f t="shared" ca="1" si="32"/>
        <v>119.54265716597145</v>
      </c>
      <c r="H64" s="76">
        <f t="shared" ca="1" si="32"/>
        <v>156.94931617096344</v>
      </c>
      <c r="I64" s="76">
        <f t="shared" ca="1" si="32"/>
        <v>192.88812459694736</v>
      </c>
      <c r="J64" s="76">
        <f t="shared" ca="1" si="32"/>
        <v>228.64444173493288</v>
      </c>
      <c r="K64" s="76">
        <f t="shared" ca="1" si="32"/>
        <v>265.17047671926861</v>
      </c>
      <c r="L64" s="76">
        <f t="shared" ca="1" si="32"/>
        <v>303.22041953037359</v>
      </c>
      <c r="M64" s="76">
        <f t="shared" ca="1" si="32"/>
        <v>343.43235903199519</v>
      </c>
      <c r="N64" s="76">
        <f t="shared" ca="1" si="32"/>
        <v>386.38000504831098</v>
      </c>
      <c r="O64" s="76">
        <f t="shared" ca="1" si="32"/>
        <v>432.60675915865181</v>
      </c>
      <c r="P64" s="76">
        <f t="shared" ca="1" si="32"/>
        <v>482.64922469931184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2026-03-20T06:33:47Z</dcterms:modified>
</cp:coreProperties>
</file>